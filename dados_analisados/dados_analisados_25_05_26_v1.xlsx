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a8b9374203d235b/Área de Trabalho/new_ic_pesquisa/dados_analisados/"/>
    </mc:Choice>
  </mc:AlternateContent>
  <xr:revisionPtr revIDLastSave="993" documentId="8_{9ED56928-3460-40EE-B14A-785D8D64DC7E}" xr6:coauthVersionLast="47" xr6:coauthVersionMax="47" xr10:uidLastSave="{97C01D35-612E-493A-A708-19809821BBDC}"/>
  <bookViews>
    <workbookView xWindow="-120" yWindow="-120" windowWidth="29040" windowHeight="15720" activeTab="1" xr2:uid="{874BE027-889C-47AA-B546-EE1970A35356}"/>
  </bookViews>
  <sheets>
    <sheet name="empresas_filtradas" sheetId="4" r:id="rId1"/>
    <sheet name="empresas_identificadas_compleme" sheetId="6" r:id="rId2"/>
  </sheets>
  <definedNames>
    <definedName name="DadosExternos_1" localSheetId="0" hidden="1">empresas_filtradas!$A$1:$K$394</definedName>
    <definedName name="DadosExternos_1" localSheetId="1" hidden="1">empresas_identificadas_compleme!$A$1:$O$371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2" i="6" l="1"/>
  <c r="P2" i="6"/>
  <c r="P3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86" i="6"/>
  <c r="P87" i="6"/>
  <c r="P88" i="6"/>
  <c r="P89" i="6"/>
  <c r="P90" i="6"/>
  <c r="P91" i="6"/>
  <c r="P92" i="6"/>
  <c r="P93" i="6"/>
  <c r="P94" i="6"/>
  <c r="P95" i="6"/>
  <c r="P96" i="6"/>
  <c r="P97" i="6"/>
  <c r="P98" i="6"/>
  <c r="P99" i="6"/>
  <c r="P100" i="6"/>
  <c r="P101" i="6"/>
  <c r="P102" i="6"/>
  <c r="P103" i="6"/>
  <c r="P104" i="6"/>
  <c r="P105" i="6"/>
  <c r="P106" i="6"/>
  <c r="P107" i="6"/>
  <c r="P108" i="6"/>
  <c r="P109" i="6"/>
  <c r="P110" i="6"/>
  <c r="P111" i="6"/>
  <c r="P112" i="6"/>
  <c r="P113" i="6"/>
  <c r="P114" i="6"/>
  <c r="P115" i="6"/>
  <c r="P116" i="6"/>
  <c r="P117" i="6"/>
  <c r="P118" i="6"/>
  <c r="P119" i="6"/>
  <c r="P120" i="6"/>
  <c r="P121" i="6"/>
  <c r="P122" i="6"/>
  <c r="P123" i="6"/>
  <c r="P124" i="6"/>
  <c r="P125" i="6"/>
  <c r="P126" i="6"/>
  <c r="P127" i="6"/>
  <c r="P128" i="6"/>
  <c r="P129" i="6"/>
  <c r="P130" i="6"/>
  <c r="P131" i="6"/>
  <c r="P132" i="6"/>
  <c r="P133" i="6"/>
  <c r="P134" i="6"/>
  <c r="P135" i="6"/>
  <c r="P138" i="6"/>
  <c r="P139" i="6"/>
  <c r="P140" i="6"/>
  <c r="P141" i="6"/>
  <c r="P142" i="6"/>
  <c r="P143" i="6"/>
  <c r="P144" i="6"/>
  <c r="P145" i="6"/>
  <c r="P146" i="6"/>
  <c r="P147" i="6"/>
  <c r="P148" i="6"/>
  <c r="P149" i="6"/>
  <c r="P150" i="6"/>
  <c r="P151" i="6"/>
  <c r="P152" i="6"/>
  <c r="P153" i="6"/>
  <c r="P154" i="6"/>
  <c r="P155" i="6"/>
  <c r="P156" i="6"/>
  <c r="P157" i="6"/>
  <c r="P158" i="6"/>
  <c r="P159" i="6"/>
  <c r="P160" i="6"/>
  <c r="P161" i="6"/>
  <c r="P162" i="6"/>
  <c r="P163" i="6"/>
  <c r="P164" i="6"/>
  <c r="P165" i="6"/>
  <c r="P166" i="6"/>
  <c r="P167" i="6"/>
  <c r="P168" i="6"/>
  <c r="P169" i="6"/>
  <c r="P170" i="6"/>
  <c r="P171" i="6"/>
  <c r="P172" i="6"/>
  <c r="P173" i="6"/>
  <c r="P174" i="6"/>
  <c r="P175" i="6"/>
  <c r="P176" i="6"/>
  <c r="P177" i="6"/>
  <c r="P178" i="6"/>
  <c r="P179" i="6"/>
  <c r="P180" i="6"/>
  <c r="P181" i="6"/>
  <c r="P182" i="6"/>
  <c r="P183" i="6"/>
  <c r="P184" i="6"/>
  <c r="P185" i="6"/>
  <c r="P186" i="6"/>
  <c r="P187" i="6"/>
  <c r="P188" i="6"/>
  <c r="P189" i="6"/>
  <c r="P190" i="6"/>
  <c r="P191" i="6"/>
  <c r="P192" i="6"/>
  <c r="P193" i="6"/>
  <c r="P194" i="6"/>
  <c r="P195" i="6"/>
  <c r="P196" i="6"/>
  <c r="P197" i="6"/>
  <c r="P198" i="6"/>
  <c r="P199" i="6"/>
  <c r="P200" i="6"/>
  <c r="P201" i="6"/>
  <c r="P202" i="6"/>
  <c r="P203" i="6"/>
  <c r="P204" i="6"/>
  <c r="P205" i="6"/>
  <c r="P206" i="6"/>
  <c r="P207" i="6"/>
  <c r="P208" i="6"/>
  <c r="P209" i="6"/>
  <c r="P210" i="6"/>
  <c r="P211" i="6"/>
  <c r="P212" i="6"/>
  <c r="P213" i="6"/>
  <c r="P214" i="6"/>
  <c r="P215" i="6"/>
  <c r="P216" i="6"/>
  <c r="P217" i="6"/>
  <c r="P218" i="6"/>
  <c r="P219" i="6"/>
  <c r="P220" i="6"/>
  <c r="P221" i="6"/>
  <c r="P222" i="6"/>
  <c r="P223" i="6"/>
  <c r="P224" i="6"/>
  <c r="P291" i="6"/>
  <c r="P226" i="6"/>
  <c r="P242" i="6"/>
  <c r="P228" i="6"/>
  <c r="P229" i="6"/>
  <c r="P230" i="6"/>
  <c r="P250" i="6"/>
  <c r="P252" i="6"/>
  <c r="P233" i="6"/>
  <c r="P259" i="6"/>
  <c r="P261" i="6"/>
  <c r="P236" i="6"/>
  <c r="P263" i="6"/>
  <c r="P238" i="6"/>
  <c r="P239" i="6"/>
  <c r="P240" i="6"/>
  <c r="P241" i="6"/>
  <c r="P265" i="6"/>
  <c r="P243" i="6"/>
  <c r="P244" i="6"/>
  <c r="P245" i="6"/>
  <c r="P246" i="6"/>
  <c r="P247" i="6"/>
  <c r="P248" i="6"/>
  <c r="P249" i="6"/>
  <c r="P270" i="6"/>
  <c r="P251" i="6"/>
  <c r="P274" i="6"/>
  <c r="P253" i="6"/>
  <c r="P336" i="6"/>
  <c r="P255" i="6"/>
  <c r="P256" i="6"/>
  <c r="P257" i="6"/>
  <c r="P258" i="6"/>
  <c r="P277" i="6"/>
  <c r="P260" i="6"/>
  <c r="P279" i="6"/>
  <c r="P262" i="6"/>
  <c r="P285" i="6"/>
  <c r="P264" i="6"/>
  <c r="P286" i="6"/>
  <c r="P266" i="6"/>
  <c r="P267" i="6"/>
  <c r="P278" i="6"/>
  <c r="P269" i="6"/>
  <c r="P231" i="6"/>
  <c r="P271" i="6"/>
  <c r="P272" i="6"/>
  <c r="P273" i="6"/>
  <c r="P287" i="6"/>
  <c r="P275" i="6"/>
  <c r="P276" i="6"/>
  <c r="P290" i="6"/>
  <c r="P323" i="6"/>
  <c r="P292" i="6"/>
  <c r="P280" i="6"/>
  <c r="P281" i="6"/>
  <c r="P282" i="6"/>
  <c r="P283" i="6"/>
  <c r="P284" i="6"/>
  <c r="P293" i="6"/>
  <c r="P303" i="6"/>
  <c r="P227" i="6"/>
  <c r="P288" i="6"/>
  <c r="P289" i="6"/>
  <c r="P315" i="6"/>
  <c r="P339" i="6"/>
  <c r="P326" i="6"/>
  <c r="P327" i="6"/>
  <c r="P294" i="6"/>
  <c r="P295" i="6"/>
  <c r="P296" i="6"/>
  <c r="P297" i="6"/>
  <c r="P298" i="6"/>
  <c r="P299" i="6"/>
  <c r="P300" i="6"/>
  <c r="P225" i="6"/>
  <c r="P302" i="6"/>
  <c r="P232" i="6"/>
  <c r="P304" i="6"/>
  <c r="P305" i="6"/>
  <c r="P306" i="6"/>
  <c r="P307" i="6"/>
  <c r="P308" i="6"/>
  <c r="P309" i="6"/>
  <c r="P310" i="6"/>
  <c r="P311" i="6"/>
  <c r="P312" i="6"/>
  <c r="P313" i="6"/>
  <c r="P314" i="6"/>
  <c r="P333" i="6"/>
  <c r="P316" i="6"/>
  <c r="P317" i="6"/>
  <c r="P318" i="6"/>
  <c r="P319" i="6"/>
  <c r="P320" i="6"/>
  <c r="P321" i="6"/>
  <c r="P322" i="6"/>
  <c r="P342" i="6"/>
  <c r="P324" i="6"/>
  <c r="P325" i="6"/>
  <c r="P234" i="6"/>
  <c r="P334" i="6"/>
  <c r="P328" i="6"/>
  <c r="P329" i="6"/>
  <c r="P330" i="6"/>
  <c r="P331" i="6"/>
  <c r="P332" i="6"/>
  <c r="P346" i="6"/>
  <c r="P235" i="6"/>
  <c r="P335" i="6"/>
  <c r="P345" i="6"/>
  <c r="P337" i="6"/>
  <c r="P338" i="6"/>
  <c r="P268" i="6"/>
  <c r="P340" i="6"/>
  <c r="P341" i="6"/>
  <c r="P254" i="6"/>
  <c r="P343" i="6"/>
  <c r="P344" i="6"/>
  <c r="P348" i="6"/>
  <c r="P237" i="6"/>
  <c r="P347" i="6"/>
  <c r="P349" i="6"/>
  <c r="P350" i="6"/>
  <c r="P351" i="6"/>
  <c r="P352" i="6"/>
  <c r="P353" i="6"/>
  <c r="P354" i="6"/>
  <c r="P355" i="6"/>
  <c r="P356" i="6"/>
  <c r="P357" i="6"/>
  <c r="P359" i="6"/>
  <c r="P360" i="6"/>
  <c r="P361" i="6"/>
  <c r="P362" i="6"/>
  <c r="P363" i="6"/>
  <c r="P364" i="6"/>
  <c r="P365" i="6"/>
  <c r="P366" i="6"/>
  <c r="P367" i="6"/>
  <c r="P368" i="6"/>
  <c r="P369" i="6"/>
  <c r="P370" i="6"/>
  <c r="P371" i="6"/>
  <c r="Q3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Q87" i="6"/>
  <c r="Q88" i="6"/>
  <c r="Q89" i="6"/>
  <c r="Q90" i="6"/>
  <c r="Q91" i="6"/>
  <c r="Q92" i="6"/>
  <c r="Q93" i="6"/>
  <c r="Q94" i="6"/>
  <c r="Q95" i="6"/>
  <c r="Q96" i="6"/>
  <c r="Q97" i="6"/>
  <c r="Q98" i="6"/>
  <c r="Q99" i="6"/>
  <c r="Q100" i="6"/>
  <c r="Q101" i="6"/>
  <c r="Q102" i="6"/>
  <c r="Q103" i="6"/>
  <c r="Q104" i="6"/>
  <c r="Q105" i="6"/>
  <c r="Q106" i="6"/>
  <c r="Q107" i="6"/>
  <c r="Q108" i="6"/>
  <c r="Q109" i="6"/>
  <c r="Q110" i="6"/>
  <c r="Q111" i="6"/>
  <c r="Q112" i="6"/>
  <c r="Q113" i="6"/>
  <c r="Q114" i="6"/>
  <c r="Q115" i="6"/>
  <c r="Q116" i="6"/>
  <c r="Q117" i="6"/>
  <c r="Q118" i="6"/>
  <c r="Q119" i="6"/>
  <c r="Q120" i="6"/>
  <c r="Q121" i="6"/>
  <c r="Q122" i="6"/>
  <c r="Q123" i="6"/>
  <c r="Q124" i="6"/>
  <c r="Q125" i="6"/>
  <c r="Q126" i="6"/>
  <c r="Q127" i="6"/>
  <c r="Q128" i="6"/>
  <c r="Q129" i="6"/>
  <c r="Q130" i="6"/>
  <c r="Q131" i="6"/>
  <c r="Q132" i="6"/>
  <c r="Q133" i="6"/>
  <c r="Q134" i="6"/>
  <c r="Q135" i="6"/>
  <c r="Q136" i="6"/>
  <c r="Q137" i="6"/>
  <c r="Q138" i="6"/>
  <c r="Q139" i="6"/>
  <c r="Q140" i="6"/>
  <c r="Q141" i="6"/>
  <c r="Q142" i="6"/>
  <c r="Q143" i="6"/>
  <c r="Q144" i="6"/>
  <c r="Q145" i="6"/>
  <c r="Q146" i="6"/>
  <c r="Q147" i="6"/>
  <c r="Q148" i="6"/>
  <c r="Q149" i="6"/>
  <c r="Q150" i="6"/>
  <c r="Q151" i="6"/>
  <c r="Q152" i="6"/>
  <c r="Q153" i="6"/>
  <c r="Q154" i="6"/>
  <c r="Q155" i="6"/>
  <c r="Q156" i="6"/>
  <c r="Q157" i="6"/>
  <c r="Q158" i="6"/>
  <c r="Q159" i="6"/>
  <c r="Q160" i="6"/>
  <c r="Q161" i="6"/>
  <c r="Q162" i="6"/>
  <c r="Q163" i="6"/>
  <c r="Q164" i="6"/>
  <c r="Q165" i="6"/>
  <c r="Q166" i="6"/>
  <c r="Q167" i="6"/>
  <c r="Q168" i="6"/>
  <c r="Q169" i="6"/>
  <c r="Q170" i="6"/>
  <c r="Q171" i="6"/>
  <c r="Q172" i="6"/>
  <c r="Q173" i="6"/>
  <c r="Q174" i="6"/>
  <c r="Q175" i="6"/>
  <c r="Q176" i="6"/>
  <c r="Q177" i="6"/>
  <c r="Q178" i="6"/>
  <c r="Q179" i="6"/>
  <c r="Q180" i="6"/>
  <c r="Q181" i="6"/>
  <c r="Q182" i="6"/>
  <c r="Q183" i="6"/>
  <c r="Q184" i="6"/>
  <c r="Q185" i="6"/>
  <c r="Q186" i="6"/>
  <c r="Q187" i="6"/>
  <c r="Q188" i="6"/>
  <c r="Q189" i="6"/>
  <c r="Q190" i="6"/>
  <c r="Q191" i="6"/>
  <c r="Q192" i="6"/>
  <c r="Q193" i="6"/>
  <c r="Q194" i="6"/>
  <c r="Q195" i="6"/>
  <c r="Q196" i="6"/>
  <c r="Q197" i="6"/>
  <c r="Q198" i="6"/>
  <c r="Q199" i="6"/>
  <c r="Q200" i="6"/>
  <c r="Q201" i="6"/>
  <c r="Q202" i="6"/>
  <c r="Q203" i="6"/>
  <c r="Q204" i="6"/>
  <c r="Q205" i="6"/>
  <c r="Q206" i="6"/>
  <c r="Q207" i="6"/>
  <c r="Q208" i="6"/>
  <c r="Q209" i="6"/>
  <c r="Q210" i="6"/>
  <c r="Q211" i="6"/>
  <c r="Q212" i="6"/>
  <c r="Q213" i="6"/>
  <c r="Q214" i="6"/>
  <c r="Q215" i="6"/>
  <c r="Q216" i="6"/>
  <c r="Q217" i="6"/>
  <c r="Q218" i="6"/>
  <c r="Q219" i="6"/>
  <c r="Q220" i="6"/>
  <c r="Q221" i="6"/>
  <c r="Q222" i="6"/>
  <c r="Q223" i="6"/>
  <c r="Q224" i="6"/>
  <c r="Q291" i="6"/>
  <c r="Q226" i="6"/>
  <c r="Q242" i="6"/>
  <c r="Q228" i="6"/>
  <c r="Q229" i="6"/>
  <c r="Q230" i="6"/>
  <c r="Q250" i="6"/>
  <c r="Q252" i="6"/>
  <c r="Q233" i="6"/>
  <c r="Q259" i="6"/>
  <c r="Q261" i="6"/>
  <c r="Q236" i="6"/>
  <c r="Q263" i="6"/>
  <c r="Q238" i="6"/>
  <c r="Q239" i="6"/>
  <c r="Q240" i="6"/>
  <c r="Q241" i="6"/>
  <c r="Q265" i="6"/>
  <c r="Q243" i="6"/>
  <c r="Q244" i="6"/>
  <c r="Q245" i="6"/>
  <c r="Q246" i="6"/>
  <c r="Q247" i="6"/>
  <c r="Q248" i="6"/>
  <c r="Q249" i="6"/>
  <c r="Q270" i="6"/>
  <c r="Q251" i="6"/>
  <c r="Q274" i="6"/>
  <c r="Q253" i="6"/>
  <c r="Q336" i="6"/>
  <c r="Q255" i="6"/>
  <c r="Q256" i="6"/>
  <c r="Q257" i="6"/>
  <c r="Q258" i="6"/>
  <c r="Q277" i="6"/>
  <c r="Q260" i="6"/>
  <c r="Q279" i="6"/>
  <c r="Q262" i="6"/>
  <c r="Q285" i="6"/>
  <c r="Q264" i="6"/>
  <c r="Q286" i="6"/>
  <c r="Q266" i="6"/>
  <c r="Q267" i="6"/>
  <c r="Q278" i="6"/>
  <c r="Q269" i="6"/>
  <c r="Q231" i="6"/>
  <c r="Q271" i="6"/>
  <c r="Q272" i="6"/>
  <c r="Q273" i="6"/>
  <c r="Q287" i="6"/>
  <c r="Q275" i="6"/>
  <c r="Q276" i="6"/>
  <c r="Q290" i="6"/>
  <c r="Q323" i="6"/>
  <c r="Q292" i="6"/>
  <c r="Q280" i="6"/>
  <c r="Q281" i="6"/>
  <c r="Q282" i="6"/>
  <c r="Q283" i="6"/>
  <c r="Q284" i="6"/>
  <c r="Q293" i="6"/>
  <c r="Q303" i="6"/>
  <c r="Q227" i="6"/>
  <c r="Q288" i="6"/>
  <c r="Q289" i="6"/>
  <c r="Q315" i="6"/>
  <c r="Q339" i="6"/>
  <c r="Q326" i="6"/>
  <c r="Q327" i="6"/>
  <c r="Q294" i="6"/>
  <c r="Q295" i="6"/>
  <c r="Q296" i="6"/>
  <c r="Q297" i="6"/>
  <c r="Q298" i="6"/>
  <c r="Q299" i="6"/>
  <c r="Q300" i="6"/>
  <c r="Q225" i="6"/>
  <c r="Q302" i="6"/>
  <c r="Q232" i="6"/>
  <c r="Q304" i="6"/>
  <c r="Q305" i="6"/>
  <c r="Q306" i="6"/>
  <c r="Q307" i="6"/>
  <c r="Q308" i="6"/>
  <c r="Q309" i="6"/>
  <c r="Q310" i="6"/>
  <c r="Q311" i="6"/>
  <c r="Q312" i="6"/>
  <c r="Q313" i="6"/>
  <c r="Q314" i="6"/>
  <c r="Q333" i="6"/>
  <c r="Q316" i="6"/>
  <c r="Q317" i="6"/>
  <c r="Q318" i="6"/>
  <c r="Q319" i="6"/>
  <c r="Q320" i="6"/>
  <c r="Q321" i="6"/>
  <c r="Q322" i="6"/>
  <c r="Q342" i="6"/>
  <c r="Q324" i="6"/>
  <c r="Q325" i="6"/>
  <c r="Q234" i="6"/>
  <c r="Q334" i="6"/>
  <c r="Q328" i="6"/>
  <c r="Q329" i="6"/>
  <c r="Q330" i="6"/>
  <c r="Q331" i="6"/>
  <c r="Q332" i="6"/>
  <c r="Q346" i="6"/>
  <c r="Q235" i="6"/>
  <c r="Q335" i="6"/>
  <c r="Q345" i="6"/>
  <c r="Q337" i="6"/>
  <c r="Q338" i="6"/>
  <c r="Q268" i="6"/>
  <c r="Q340" i="6"/>
  <c r="Q341" i="6"/>
  <c r="Q254" i="6"/>
  <c r="Q343" i="6"/>
  <c r="Q344" i="6"/>
  <c r="Q348" i="6"/>
  <c r="Q237" i="6"/>
  <c r="Q347" i="6"/>
  <c r="Q301" i="6"/>
  <c r="Q349" i="6"/>
  <c r="Q350" i="6"/>
  <c r="Q351" i="6"/>
  <c r="Q352" i="6"/>
  <c r="Q353" i="6"/>
  <c r="Q354" i="6"/>
  <c r="Q355" i="6"/>
  <c r="Q356" i="6"/>
  <c r="Q357" i="6"/>
  <c r="Q358" i="6"/>
  <c r="Q359" i="6"/>
  <c r="Q360" i="6"/>
  <c r="Q361" i="6"/>
  <c r="Q362" i="6"/>
  <c r="Q363" i="6"/>
  <c r="Q364" i="6"/>
  <c r="Q365" i="6"/>
  <c r="Q366" i="6"/>
  <c r="Q367" i="6"/>
  <c r="Q368" i="6"/>
  <c r="Q369" i="6"/>
  <c r="Q370" i="6"/>
  <c r="Q371" i="6"/>
  <c r="O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N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L2" i="4" a="1"/>
  <c r="L3" i="4" a="1"/>
  <c r="L4" i="4" a="1"/>
  <c r="L5" i="4" a="1"/>
  <c r="L6" i="4" a="1"/>
  <c r="L7" i="4" a="1"/>
  <c r="L8" i="4" a="1"/>
  <c r="L9" i="4" a="1"/>
  <c r="L10" i="4" a="1"/>
  <c r="L11" i="4" a="1"/>
  <c r="L12" i="4" a="1"/>
  <c r="L13" i="4" a="1"/>
  <c r="L14" i="4" a="1"/>
  <c r="L15" i="4" a="1"/>
  <c r="L16" i="4" a="1"/>
  <c r="L17" i="4" a="1"/>
  <c r="L18" i="4" a="1"/>
  <c r="L19" i="4" a="1"/>
  <c r="L20" i="4" a="1"/>
  <c r="L21" i="4" a="1"/>
  <c r="L22" i="4" a="1"/>
  <c r="L23" i="4" a="1"/>
  <c r="L24" i="4" a="1"/>
  <c r="L25" i="4" a="1"/>
  <c r="L26" i="4" a="1"/>
  <c r="L27" i="4" a="1"/>
  <c r="L28" i="4" a="1"/>
  <c r="L29" i="4" a="1"/>
  <c r="L30" i="4" a="1"/>
  <c r="L31" i="4" a="1"/>
  <c r="L32" i="4" a="1"/>
  <c r="L33" i="4" a="1"/>
  <c r="L34" i="4" a="1"/>
  <c r="L35" i="4" a="1"/>
  <c r="L36" i="4" a="1"/>
  <c r="L37" i="4" a="1"/>
  <c r="L38" i="4" a="1"/>
  <c r="L39" i="4" a="1"/>
  <c r="L40" i="4" a="1"/>
  <c r="L41" i="4" a="1"/>
  <c r="L42" i="4" a="1"/>
  <c r="L43" i="4" a="1"/>
  <c r="L44" i="4" a="1"/>
  <c r="L45" i="4" a="1"/>
  <c r="L46" i="4" a="1"/>
  <c r="L47" i="4" a="1"/>
  <c r="L48" i="4" a="1"/>
  <c r="L49" i="4" a="1"/>
  <c r="L50" i="4" a="1"/>
  <c r="L51" i="4" a="1"/>
  <c r="L52" i="4" a="1"/>
  <c r="L53" i="4" a="1"/>
  <c r="L54" i="4" a="1"/>
  <c r="L55" i="4" a="1"/>
  <c r="L56" i="4" a="1"/>
  <c r="L57" i="4" a="1"/>
  <c r="L58" i="4" a="1"/>
  <c r="L59" i="4" a="1"/>
  <c r="L60" i="4" a="1"/>
  <c r="L61" i="4" a="1"/>
  <c r="L62" i="4" a="1"/>
  <c r="L63" i="4" a="1"/>
  <c r="L64" i="4" a="1"/>
  <c r="L65" i="4" a="1"/>
  <c r="L66" i="4" a="1"/>
  <c r="L67" i="4" a="1"/>
  <c r="L68" i="4" a="1"/>
  <c r="L69" i="4" a="1"/>
  <c r="L70" i="4" a="1"/>
  <c r="L71" i="4" a="1"/>
  <c r="L72" i="4" a="1"/>
  <c r="L73" i="4" a="1"/>
  <c r="L74" i="4" a="1"/>
  <c r="L75" i="4" a="1"/>
  <c r="L76" i="4" a="1"/>
  <c r="L77" i="4" a="1"/>
  <c r="L78" i="4" a="1"/>
  <c r="L79" i="4" a="1"/>
  <c r="L80" i="4" a="1"/>
  <c r="L81" i="4" a="1"/>
  <c r="L82" i="4" a="1"/>
  <c r="L83" i="4" a="1"/>
  <c r="L84" i="4" a="1"/>
  <c r="L85" i="4" a="1"/>
  <c r="L86" i="4" a="1"/>
  <c r="L87" i="4" a="1"/>
  <c r="L88" i="4" a="1"/>
  <c r="L89" i="4" a="1"/>
  <c r="L90" i="4" a="1"/>
  <c r="L91" i="4" a="1"/>
  <c r="L92" i="4" a="1"/>
  <c r="L93" i="4" a="1"/>
  <c r="L94" i="4" a="1"/>
  <c r="L95" i="4" a="1"/>
  <c r="L96" i="4" a="1"/>
  <c r="L97" i="4" a="1"/>
  <c r="L98" i="4" a="1"/>
  <c r="L99" i="4" a="1"/>
  <c r="L100" i="4" a="1"/>
  <c r="L101" i="4" a="1"/>
  <c r="L102" i="4" a="1"/>
  <c r="L103" i="4" a="1"/>
  <c r="L104" i="4" a="1"/>
  <c r="L105" i="4" a="1"/>
  <c r="L106" i="4" a="1"/>
  <c r="L107" i="4" a="1"/>
  <c r="L108" i="4" a="1"/>
  <c r="L109" i="4" a="1"/>
  <c r="L110" i="4" a="1"/>
  <c r="L111" i="4" a="1"/>
  <c r="L112" i="4" a="1"/>
  <c r="L113" i="4" a="1"/>
  <c r="L114" i="4" a="1"/>
  <c r="L115" i="4" a="1"/>
  <c r="L116" i="4" a="1"/>
  <c r="L117" i="4" a="1"/>
  <c r="L118" i="4" a="1"/>
  <c r="L119" i="4" a="1"/>
  <c r="L120" i="4" a="1"/>
  <c r="L121" i="4" a="1"/>
  <c r="L122" i="4" a="1"/>
  <c r="L123" i="4" a="1"/>
  <c r="L124" i="4" a="1"/>
  <c r="L125" i="4" a="1"/>
  <c r="L126" i="4" a="1"/>
  <c r="L127" i="4" a="1"/>
  <c r="L128" i="4" a="1"/>
  <c r="L129" i="4" a="1"/>
  <c r="L130" i="4" a="1"/>
  <c r="L131" i="4" a="1"/>
  <c r="L132" i="4" a="1"/>
  <c r="L133" i="4" a="1"/>
  <c r="L134" i="4" a="1"/>
  <c r="L135" i="4" a="1"/>
  <c r="L136" i="4" a="1"/>
  <c r="L137" i="4" a="1"/>
  <c r="L138" i="4" a="1"/>
  <c r="L139" i="4" a="1"/>
  <c r="L140" i="4" a="1"/>
  <c r="L141" i="4" a="1"/>
  <c r="L142" i="4" a="1"/>
  <c r="L143" i="4" a="1"/>
  <c r="L144" i="4" a="1"/>
  <c r="L145" i="4" a="1"/>
  <c r="L146" i="4" a="1"/>
  <c r="L147" i="4" a="1"/>
  <c r="L148" i="4" a="1"/>
  <c r="L149" i="4" a="1"/>
  <c r="L150" i="4" a="1"/>
  <c r="L151" i="4" a="1"/>
  <c r="L152" i="4" a="1"/>
  <c r="L153" i="4" a="1"/>
  <c r="L154" i="4" a="1"/>
  <c r="L155" i="4" a="1"/>
  <c r="L156" i="4" a="1"/>
  <c r="L157" i="4" a="1"/>
  <c r="L158" i="4" a="1"/>
  <c r="L159" i="4" a="1"/>
  <c r="L160" i="4" a="1"/>
  <c r="L161" i="4" a="1"/>
  <c r="L162" i="4" a="1"/>
  <c r="L163" i="4" a="1"/>
  <c r="L164" i="4" a="1"/>
  <c r="L165" i="4" a="1"/>
  <c r="L166" i="4" a="1"/>
  <c r="L167" i="4" a="1"/>
  <c r="L168" i="4" a="1"/>
  <c r="L169" i="4" a="1"/>
  <c r="L170" i="4" a="1"/>
  <c r="L171" i="4" a="1"/>
  <c r="L172" i="4" a="1"/>
  <c r="L173" i="4" a="1"/>
  <c r="L174" i="4" a="1"/>
  <c r="L175" i="4" a="1"/>
  <c r="L176" i="4" a="1"/>
  <c r="L177" i="4" a="1"/>
  <c r="L178" i="4" a="1"/>
  <c r="L179" i="4" a="1"/>
  <c r="L180" i="4" a="1"/>
  <c r="L181" i="4" a="1"/>
  <c r="L182" i="4" a="1"/>
  <c r="L183" i="4" a="1"/>
  <c r="L184" i="4" a="1"/>
  <c r="L185" i="4" a="1"/>
  <c r="L186" i="4" a="1"/>
  <c r="L187" i="4" a="1"/>
  <c r="L188" i="4" a="1"/>
  <c r="L189" i="4" a="1"/>
  <c r="L190" i="4" a="1"/>
  <c r="L191" i="4" a="1"/>
  <c r="L192" i="4" a="1"/>
  <c r="L193" i="4" a="1"/>
  <c r="L194" i="4" a="1"/>
  <c r="L195" i="4" a="1"/>
  <c r="L196" i="4" a="1"/>
  <c r="L197" i="4" a="1"/>
  <c r="L198" i="4" a="1"/>
  <c r="L199" i="4" a="1"/>
  <c r="L200" i="4" a="1"/>
  <c r="L201" i="4" a="1"/>
  <c r="L202" i="4" a="1"/>
  <c r="L203" i="4" a="1"/>
  <c r="L204" i="4" a="1"/>
  <c r="L205" i="4" a="1"/>
  <c r="L206" i="4" a="1"/>
  <c r="L207" i="4" a="1"/>
  <c r="L208" i="4" a="1"/>
  <c r="L209" i="4" a="1"/>
  <c r="L210" i="4" a="1"/>
  <c r="L211" i="4" a="1"/>
  <c r="L212" i="4" a="1"/>
  <c r="L213" i="4" a="1"/>
  <c r="L214" i="4" a="1"/>
  <c r="L215" i="4" a="1"/>
  <c r="L216" i="4" a="1"/>
  <c r="L217" i="4" a="1"/>
  <c r="L218" i="4" a="1"/>
  <c r="L219" i="4" a="1"/>
  <c r="L220" i="4" a="1"/>
  <c r="L221" i="4" a="1"/>
  <c r="L222" i="4" a="1"/>
  <c r="L223" i="4" a="1"/>
  <c r="L224" i="4" a="1"/>
  <c r="L225" i="4" a="1"/>
  <c r="L226" i="4" a="1"/>
  <c r="L227" i="4" a="1"/>
  <c r="L228" i="4" a="1"/>
  <c r="L229" i="4" a="1"/>
  <c r="L230" i="4" a="1"/>
  <c r="L231" i="4" a="1"/>
  <c r="L232" i="4" a="1"/>
  <c r="L233" i="4" a="1"/>
  <c r="L234" i="4" a="1"/>
  <c r="L235" i="4" a="1"/>
  <c r="L236" i="4" a="1"/>
  <c r="L237" i="4" a="1"/>
  <c r="L238" i="4" a="1"/>
  <c r="L239" i="4" a="1"/>
  <c r="L240" i="4" a="1"/>
  <c r="L241" i="4" a="1"/>
  <c r="L242" i="4" a="1"/>
  <c r="L243" i="4" a="1"/>
  <c r="L244" i="4" a="1"/>
  <c r="L245" i="4" a="1"/>
  <c r="L246" i="4" a="1"/>
  <c r="L247" i="4" a="1"/>
  <c r="L248" i="4" a="1"/>
  <c r="L249" i="4" a="1"/>
  <c r="L250" i="4" a="1"/>
  <c r="L251" i="4" a="1"/>
  <c r="L252" i="4" a="1"/>
  <c r="L253" i="4" a="1"/>
  <c r="L254" i="4" a="1"/>
  <c r="L255" i="4" a="1"/>
  <c r="L256" i="4" a="1"/>
  <c r="L257" i="4" a="1"/>
  <c r="L258" i="4" a="1"/>
  <c r="L259" i="4" a="1"/>
  <c r="L260" i="4" a="1"/>
  <c r="L261" i="4" a="1"/>
  <c r="L262" i="4" a="1"/>
  <c r="L263" i="4" a="1"/>
  <c r="L264" i="4" a="1"/>
  <c r="L265" i="4" a="1"/>
  <c r="L266" i="4" a="1"/>
  <c r="L267" i="4" a="1"/>
  <c r="L268" i="4" a="1"/>
  <c r="L269" i="4" a="1"/>
  <c r="L270" i="4" a="1"/>
  <c r="L271" i="4" a="1"/>
  <c r="L272" i="4" a="1"/>
  <c r="L273" i="4" a="1"/>
  <c r="L274" i="4" a="1"/>
  <c r="L275" i="4" a="1"/>
  <c r="L276" i="4" a="1"/>
  <c r="L277" i="4" a="1"/>
  <c r="L278" i="4" a="1"/>
  <c r="L279" i="4" a="1"/>
  <c r="L280" i="4" a="1"/>
  <c r="L281" i="4" a="1"/>
  <c r="L282" i="4" a="1"/>
  <c r="L283" i="4" a="1"/>
  <c r="L284" i="4" a="1"/>
  <c r="L285" i="4" a="1"/>
  <c r="L286" i="4" a="1"/>
  <c r="L287" i="4" a="1"/>
  <c r="L288" i="4" a="1"/>
  <c r="L289" i="4" a="1"/>
  <c r="L290" i="4" a="1"/>
  <c r="L291" i="4" a="1"/>
  <c r="L292" i="4" a="1"/>
  <c r="L293" i="4" a="1"/>
  <c r="L294" i="4" a="1"/>
  <c r="L295" i="4" a="1"/>
  <c r="L296" i="4" a="1"/>
  <c r="L297" i="4" a="1"/>
  <c r="L298" i="4" a="1"/>
  <c r="L299" i="4" a="1"/>
  <c r="L300" i="4" a="1"/>
  <c r="L301" i="4" a="1"/>
  <c r="L302" i="4" a="1"/>
  <c r="L303" i="4" a="1"/>
  <c r="L304" i="4" a="1"/>
  <c r="L305" i="4" a="1"/>
  <c r="L306" i="4" a="1"/>
  <c r="L307" i="4" a="1"/>
  <c r="L308" i="4" a="1"/>
  <c r="L309" i="4" a="1"/>
  <c r="L310" i="4" a="1"/>
  <c r="L311" i="4" a="1"/>
  <c r="L312" i="4" a="1"/>
  <c r="L313" i="4" a="1"/>
  <c r="L314" i="4" a="1"/>
  <c r="L315" i="4" a="1"/>
  <c r="L316" i="4" a="1"/>
  <c r="L317" i="4" a="1"/>
  <c r="L318" i="4" a="1"/>
  <c r="L319" i="4" a="1"/>
  <c r="L320" i="4" a="1"/>
  <c r="L321" i="4" a="1"/>
  <c r="L322" i="4" a="1"/>
  <c r="L323" i="4" a="1"/>
  <c r="L324" i="4" a="1"/>
  <c r="L325" i="4" a="1"/>
  <c r="L326" i="4" a="1"/>
  <c r="L327" i="4" a="1"/>
  <c r="L328" i="4" a="1"/>
  <c r="L329" i="4" a="1"/>
  <c r="L330" i="4" a="1"/>
  <c r="L331" i="4" a="1"/>
  <c r="L332" i="4" a="1"/>
  <c r="L333" i="4" a="1"/>
  <c r="L334" i="4" a="1"/>
  <c r="L335" i="4" a="1"/>
  <c r="L336" i="4" a="1"/>
  <c r="L337" i="4" a="1"/>
  <c r="L338" i="4" a="1"/>
  <c r="L339" i="4" a="1"/>
  <c r="L340" i="4" a="1"/>
  <c r="L341" i="4" a="1"/>
  <c r="L342" i="4" a="1"/>
  <c r="L343" i="4" a="1"/>
  <c r="L344" i="4" a="1"/>
  <c r="L345" i="4" a="1"/>
  <c r="L346" i="4" a="1"/>
  <c r="L347" i="4" a="1"/>
  <c r="L348" i="4" a="1"/>
  <c r="L349" i="4" a="1"/>
  <c r="L350" i="4" a="1"/>
  <c r="L351" i="4" a="1"/>
  <c r="L352" i="4" a="1"/>
  <c r="L353" i="4" a="1"/>
  <c r="L354" i="4" a="1"/>
  <c r="L355" i="4" a="1"/>
  <c r="L356" i="4" a="1"/>
  <c r="L357" i="4" a="1"/>
  <c r="L358" i="4" a="1"/>
  <c r="L359" i="4" a="1"/>
  <c r="L360" i="4" a="1"/>
  <c r="L361" i="4" a="1"/>
  <c r="L362" i="4" a="1"/>
  <c r="L363" i="4" a="1"/>
  <c r="L364" i="4" a="1"/>
  <c r="L365" i="4" a="1"/>
  <c r="L366" i="4" a="1"/>
  <c r="L367" i="4" a="1"/>
  <c r="L368" i="4" a="1"/>
  <c r="L369" i="4" a="1"/>
  <c r="L370" i="4" a="1"/>
  <c r="L371" i="4" a="1"/>
  <c r="L372" i="4" a="1"/>
  <c r="L373" i="4" a="1"/>
  <c r="L374" i="4" a="1"/>
  <c r="L375" i="4" a="1"/>
  <c r="L376" i="4" a="1"/>
  <c r="L377" i="4" a="1"/>
  <c r="L378" i="4" a="1"/>
  <c r="L379" i="4" a="1"/>
  <c r="L380" i="4" a="1"/>
  <c r="L381" i="4" a="1"/>
  <c r="L382" i="4" a="1"/>
  <c r="L383" i="4" a="1"/>
  <c r="L384" i="4" a="1"/>
  <c r="L385" i="4" a="1"/>
  <c r="L386" i="4" a="1"/>
  <c r="L387" i="4" a="1"/>
  <c r="L388" i="4" a="1"/>
  <c r="L389" i="4" a="1"/>
  <c r="L390" i="4" a="1"/>
  <c r="L391" i="4" a="1"/>
  <c r="L392" i="4" a="1"/>
  <c r="L393" i="4" a="1"/>
  <c r="L394" i="4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718C5D4-3CCE-4C4A-A558-ED79E579655E}" keepAlive="1" name="Consulta - dados_selecionados_prev" description="Conexão com a consulta 'dados_selecionados_prev' na pasta de trabalho." type="5" refreshedVersion="8" background="1" saveData="1">
    <dbPr connection="Provider=Microsoft.Mashup.OleDb.1;Data Source=$Workbook$;Location=dados_selecionados_prev;Extended Properties=&quot;&quot;" command="SELECT * FROM [dados_selecionados_prev]"/>
  </connection>
  <connection id="2" xr16:uid="{E0BF8098-5527-43E3-9A69-3D3080E439D8}" keepAlive="1" name="Consulta - empresas_filtradas" description="Conexão com a consulta 'empresas_filtradas' na pasta de trabalho." type="5" refreshedVersion="8" background="1" saveData="1">
    <dbPr connection="Provider=Microsoft.Mashup.OleDb.1;Data Source=$Workbook$;Location=empresas_filtradas;Extended Properties=&quot;&quot;" command="SELECT * FROM [empresas_filtradas]"/>
  </connection>
  <connection id="3" xr16:uid="{C38A4813-90B6-44AF-B84B-1CEBF8EC7D4B}" keepAlive="1" name="Consulta - empresas_identificadas" description="Conexão com a consulta 'empresas_identificadas' na pasta de trabalho." type="5" refreshedVersion="8" background="1" saveData="1">
    <dbPr connection="Provider=Microsoft.Mashup.OleDb.1;Data Source=$Workbook$;Location=empresas_identificadas;Extended Properties=&quot;&quot;" command="SELECT * FROM [empresas_identificadas]"/>
  </connection>
  <connection id="4" xr16:uid="{5B95F07A-18FA-4564-BF98-24F8A31D95B8}" keepAlive="1" name="Consulta - empresas_identificadas (2)" description="Conexão com a consulta 'empresas_identificadas (2)' na pasta de trabalho." type="5" refreshedVersion="0" background="1" saveData="1">
    <dbPr connection="Provider=Microsoft.Mashup.OleDb.1;Data Source=$Workbook$;Location=&quot;empresas_identificadas (2)&quot;;Extended Properties=&quot;&quot;" command="SELECT * FROM [empresas_identificadas (2)]"/>
  </connection>
  <connection id="5" xr16:uid="{FBBEC59C-BD03-4D2A-A963-FFB57DFA8238}" keepAlive="1" name="Consulta - empresas_identificadas_complementadas" description="Conexão com a consulta 'empresas_identificadas_complementadas' na pasta de trabalho." type="5" refreshedVersion="8" background="1" saveData="1">
    <dbPr connection="Provider=Microsoft.Mashup.OleDb.1;Data Source=$Workbook$;Location=empresas_identificadas_complementadas;Extended Properties=&quot;&quot;" command="SELECT * FROM [empresas_identificadas_complementada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<sst xmlns="http://schemas.openxmlformats.org/spreadsheetml/2006/main" count="5350" uniqueCount="960">
  <si>
    <t>cnpj</t>
  </si>
  <si>
    <t>output</t>
  </si>
  <si>
    <t>talvez</t>
  </si>
  <si>
    <t>produz_h2</t>
  </si>
  <si>
    <t>incerto</t>
  </si>
  <si>
    <t>nome_fantasia</t>
  </si>
  <si>
    <t>situacao_cadastral</t>
  </si>
  <si>
    <t>pais</t>
  </si>
  <si>
    <t>cnae_principal</t>
  </si>
  <si>
    <t>numero</t>
  </si>
  <si>
    <t>complemento</t>
  </si>
  <si>
    <t>cep</t>
  </si>
  <si>
    <t>uf</t>
  </si>
  <si>
    <t>municipio</t>
  </si>
  <si>
    <t>email</t>
  </si>
  <si>
    <t/>
  </si>
  <si>
    <t>S/N</t>
  </si>
  <si>
    <t>MG</t>
  </si>
  <si>
    <t>65</t>
  </si>
  <si>
    <t>AL</t>
  </si>
  <si>
    <t>rita.rocha@br.aga.com</t>
  </si>
  <si>
    <t>MESSER GASES</t>
  </si>
  <si>
    <t>1825</t>
  </si>
  <si>
    <t>MT</t>
  </si>
  <si>
    <t>TAX.COMPLIANCE@MESSER-BR.COM</t>
  </si>
  <si>
    <t>S/ N</t>
  </si>
  <si>
    <t>PARTE</t>
  </si>
  <si>
    <t>RJ</t>
  </si>
  <si>
    <t>BRALB-PARALEGAL@AIRLIQUIDE.COM</t>
  </si>
  <si>
    <t>00003</t>
  </si>
  <si>
    <t>NFE.ENTRADA@RECIGASES.COM</t>
  </si>
  <si>
    <t>660</t>
  </si>
  <si>
    <t>SP</t>
  </si>
  <si>
    <t>ATENDIMENTO@SAC.WHITEMARTINS.COM.BR</t>
  </si>
  <si>
    <t>406</t>
  </si>
  <si>
    <t>HORTOOXI@GMAIL.COM</t>
  </si>
  <si>
    <t>KM    28,5 - PARTE</t>
  </si>
  <si>
    <t>IMPNFE@AIRPRODUCTS.COM</t>
  </si>
  <si>
    <t>AIR LIQUIDE BRASIL LTDA</t>
  </si>
  <si>
    <t>01</t>
  </si>
  <si>
    <t>DF</t>
  </si>
  <si>
    <t>2-71</t>
  </si>
  <si>
    <t>QUADRA PI2</t>
  </si>
  <si>
    <t>OXIGENIO NOVA GERACAO</t>
  </si>
  <si>
    <t>1959</t>
  </si>
  <si>
    <t>PR</t>
  </si>
  <si>
    <t>AXIGAS@AXIGAS.COM.BR</t>
  </si>
  <si>
    <t>OXGAS</t>
  </si>
  <si>
    <t>1094</t>
  </si>
  <si>
    <t>ES</t>
  </si>
  <si>
    <t>CONTABIL@OXGAS.COM.BR</t>
  </si>
  <si>
    <t>PCI</t>
  </si>
  <si>
    <t>925034820</t>
  </si>
  <si>
    <t>EX</t>
  </si>
  <si>
    <t>SERES.BAUM@WGI.ONE</t>
  </si>
  <si>
    <t>08</t>
  </si>
  <si>
    <t>MA</t>
  </si>
  <si>
    <t>TROPICALIMPORTADORA@CONTADORGESTOR.COM.BR</t>
  </si>
  <si>
    <t>824</t>
  </si>
  <si>
    <t>QUADRA15 E 20</t>
  </si>
  <si>
    <t>BA</t>
  </si>
  <si>
    <t>KM    20</t>
  </si>
  <si>
    <t>MS</t>
  </si>
  <si>
    <t>330</t>
  </si>
  <si>
    <t>GALPAO04</t>
  </si>
  <si>
    <t>SC</t>
  </si>
  <si>
    <t>SOCIETARIO1@ATOS.CNT.BR</t>
  </si>
  <si>
    <t>255</t>
  </si>
  <si>
    <t>KM    547                       ANEXO ENTRADA PELA        ROD. LMG 748 KM 29        SENTIDO ARAGUARI</t>
  </si>
  <si>
    <t>TELEGAS INDUSTRIA E COMERCIO</t>
  </si>
  <si>
    <t>QUADRAB                   LOTE  20 E 40</t>
  </si>
  <si>
    <t>RN</t>
  </si>
  <si>
    <t>FDEADOSSANTOS@GMAIL.COM</t>
  </si>
  <si>
    <t>TRUCKS EVAN U.S.A. HIDROGENIO</t>
  </si>
  <si>
    <t>480</t>
  </si>
  <si>
    <t>LOJA</t>
  </si>
  <si>
    <t>CONTABILIDADE@KSCONTABIL.COM.BR</t>
  </si>
  <si>
    <t>KM    1565</t>
  </si>
  <si>
    <t>PA</t>
  </si>
  <si>
    <t>TRIBUTARIOGS@GRUPOSIMOES.COM.BR</t>
  </si>
  <si>
    <t>1781</t>
  </si>
  <si>
    <t>ASPCONTABILIDADEVR@HOTMAIL.COM</t>
  </si>
  <si>
    <t>1777</t>
  </si>
  <si>
    <t>SALA  1107</t>
  </si>
  <si>
    <t>CGF@SOLATIO.COM.BR</t>
  </si>
  <si>
    <t>GEP-PIAUI</t>
  </si>
  <si>
    <t>CXPST 60</t>
  </si>
  <si>
    <t>PI</t>
  </si>
  <si>
    <t>INFO@GEP-GLOBAL.COM</t>
  </si>
  <si>
    <t>OXINE</t>
  </si>
  <si>
    <t>300</t>
  </si>
  <si>
    <t>GALPAO</t>
  </si>
  <si>
    <t>PE</t>
  </si>
  <si>
    <t>SILTON@SILTON.COM.BR</t>
  </si>
  <si>
    <t>SOS GASES INDUSTRIAIS</t>
  </si>
  <si>
    <t>1300</t>
  </si>
  <si>
    <t>PB</t>
  </si>
  <si>
    <t>SOSGASESINDUSTRIA@GMAIL.COM</t>
  </si>
  <si>
    <t>OXIGENIO CAROL</t>
  </si>
  <si>
    <t>420</t>
  </si>
  <si>
    <t>GALPAO02</t>
  </si>
  <si>
    <t>LEGALIZACAO@FIDERECONTABIL.COM.BR</t>
  </si>
  <si>
    <t>KM    11 5</t>
  </si>
  <si>
    <t>ECO-GASES</t>
  </si>
  <si>
    <t>178-B</t>
  </si>
  <si>
    <t>ECOGASESCG@GMAIL.COM</t>
  </si>
  <si>
    <t>1170</t>
  </si>
  <si>
    <t xml:space="preserve">      C</t>
  </si>
  <si>
    <t>CE</t>
  </si>
  <si>
    <t>650</t>
  </si>
  <si>
    <t>Q FRIO</t>
  </si>
  <si>
    <t>769</t>
  </si>
  <si>
    <t>FLAVIO@QFRIOGELOSECO.COM.BR</t>
  </si>
  <si>
    <t>897</t>
  </si>
  <si>
    <t>AM</t>
  </si>
  <si>
    <t>EUDNEY.SOUSA@CARBOXIGASES.COM</t>
  </si>
  <si>
    <t>LOTE 26</t>
  </si>
  <si>
    <t>RS</t>
  </si>
  <si>
    <t>500</t>
  </si>
  <si>
    <t>WHITE MARTINS</t>
  </si>
  <si>
    <t>2220</t>
  </si>
  <si>
    <t>KM    6                         ACIARIA 1                 AV PLINIO DE QUEIROZ      S/N                       (FOX)</t>
  </si>
  <si>
    <t>6000</t>
  </si>
  <si>
    <t xml:space="preserve">      FABRICA DE OXIGENIO       4</t>
  </si>
  <si>
    <t>AGA</t>
  </si>
  <si>
    <t>KM 18,5 LT 02 QD 01</t>
  </si>
  <si>
    <t>3135</t>
  </si>
  <si>
    <t>150</t>
  </si>
  <si>
    <t>BLOCO: A;</t>
  </si>
  <si>
    <t>IBG@IBG.COM.BR</t>
  </si>
  <si>
    <t>OXI-COLOR</t>
  </si>
  <si>
    <t>719</t>
  </si>
  <si>
    <t>CONTATO@OXICOLOROXIGENIO.COM.BR</t>
  </si>
  <si>
    <t>SE</t>
  </si>
  <si>
    <t>483</t>
  </si>
  <si>
    <t>KM 18</t>
  </si>
  <si>
    <t>1898</t>
  </si>
  <si>
    <t>3111</t>
  </si>
  <si>
    <t>1230</t>
  </si>
  <si>
    <t>WHITE MARTINS GASES INDUSTRIAIS S/A</t>
  </si>
  <si>
    <t>100</t>
  </si>
  <si>
    <t>OXIGEN GASES</t>
  </si>
  <si>
    <t>1000</t>
  </si>
  <si>
    <t>WILSONPENHABTOS@YAHOO.COM.BR</t>
  </si>
  <si>
    <t>KM    231</t>
  </si>
  <si>
    <t>800</t>
  </si>
  <si>
    <t>ANEXO SALA A</t>
  </si>
  <si>
    <t>AIR PRODUCTS BRASIL LTDA.</t>
  </si>
  <si>
    <t>KM    02                        SENTIDO RECIFE            JOAO PESSOA               MARGEM DIREITA</t>
  </si>
  <si>
    <t>496</t>
  </si>
  <si>
    <t>102</t>
  </si>
  <si>
    <t>COMERCIAL@GLACIARGELOSECO.COM</t>
  </si>
  <si>
    <t>KM    298                       PARTE</t>
  </si>
  <si>
    <t>IBG CRYO INDUSTRIA DE GASES LTDA</t>
  </si>
  <si>
    <t>1195</t>
  </si>
  <si>
    <t>LUCAS@IBG.COM.BR</t>
  </si>
  <si>
    <t xml:space="preserve">      PARTE</t>
  </si>
  <si>
    <t>CARBO GAS</t>
  </si>
  <si>
    <t>1920</t>
  </si>
  <si>
    <t>GALPAO150</t>
  </si>
  <si>
    <t>FISCAL.NF@GRUPOJB.COM.BR</t>
  </si>
  <si>
    <t xml:space="preserve">      SALA 902 T- NORTE</t>
  </si>
  <si>
    <t>FISCAL.EOLICAS@CASADOSVENTOS.COM.BR</t>
  </si>
  <si>
    <t>SOS OXIGENIO</t>
  </si>
  <si>
    <t>121</t>
  </si>
  <si>
    <t>OXIPORTO COMERCIO E DISTRIBUICAO DE GASES LTDA</t>
  </si>
  <si>
    <t>SALA  01</t>
  </si>
  <si>
    <t>RO</t>
  </si>
  <si>
    <t>ADMOPN@GMAIL.COM</t>
  </si>
  <si>
    <t>2050</t>
  </si>
  <si>
    <t>1434</t>
  </si>
  <si>
    <t>4590</t>
  </si>
  <si>
    <t>726</t>
  </si>
  <si>
    <t>GO</t>
  </si>
  <si>
    <t>2629</t>
  </si>
  <si>
    <t>2850</t>
  </si>
  <si>
    <t>828</t>
  </si>
  <si>
    <t>850</t>
  </si>
  <si>
    <t>KM 115(2) A  I V  SUL</t>
  </si>
  <si>
    <t>40</t>
  </si>
  <si>
    <t>ibg3@ibg.com.br</t>
  </si>
  <si>
    <t>89</t>
  </si>
  <si>
    <t>GRUPO 604</t>
  </si>
  <si>
    <t>350</t>
  </si>
  <si>
    <t>ANDAR 19                  CONJ  1901 1902</t>
  </si>
  <si>
    <t>GALPAOI FUNDOS</t>
  </si>
  <si>
    <t>6-14</t>
  </si>
  <si>
    <t xml:space="preserve">      82049</t>
  </si>
  <si>
    <t>N A N D I S</t>
  </si>
  <si>
    <t>223</t>
  </si>
  <si>
    <t>LETRA: D;</t>
  </si>
  <si>
    <t>351</t>
  </si>
  <si>
    <t>PORTOGAS-GASES@UOL.COM.BR</t>
  </si>
  <si>
    <t>LOTE  1 E 2               QUADRAE</t>
  </si>
  <si>
    <t>557</t>
  </si>
  <si>
    <t>ANEXO POLO ALTA TECNOLOGIA</t>
  </si>
  <si>
    <t>SN</t>
  </si>
  <si>
    <t>KM 210</t>
  </si>
  <si>
    <t>KM    + 7 KM A ESQUERDA - GALPAOFABRICA</t>
  </si>
  <si>
    <t>1717</t>
  </si>
  <si>
    <t>GOLD GAS</t>
  </si>
  <si>
    <t>07</t>
  </si>
  <si>
    <t xml:space="preserve">      NORTE                     PONTE ALTA</t>
  </si>
  <si>
    <t>RHOMAGAS INDUSTRIA DE GASES E PRODUTOS PARA SAUDE</t>
  </si>
  <si>
    <t>RHOMA@RHOMA.COM.BR</t>
  </si>
  <si>
    <t>UDX GE</t>
  </si>
  <si>
    <t>329</t>
  </si>
  <si>
    <t>SERGIOLEME@UNIDOX.COM.BR</t>
  </si>
  <si>
    <t>AGNA AMBIENTAL</t>
  </si>
  <si>
    <t>83</t>
  </si>
  <si>
    <t>CARLOS.ANDRE@AGNAAMBIENTAL.COM.BR</t>
  </si>
  <si>
    <t>LINCE GASES</t>
  </si>
  <si>
    <t>340</t>
  </si>
  <si>
    <t>LEGALIZACAO@AVCONTABILIDADE.COM.BR</t>
  </si>
  <si>
    <t>QUADRA1                   LOTE  11</t>
  </si>
  <si>
    <t>COMERCIAL@MLXGASES.COM.BR</t>
  </si>
  <si>
    <t>550</t>
  </si>
  <si>
    <t>CONTATO@SPECIALGASES.COM.BR</t>
  </si>
  <si>
    <t>MAO AMIGA DA NATUREZA</t>
  </si>
  <si>
    <t>70</t>
  </si>
  <si>
    <t>SALA  A</t>
  </si>
  <si>
    <t>CRISITINA.SFLORENCIO@HOTMAIL.COM</t>
  </si>
  <si>
    <t>OXLION</t>
  </si>
  <si>
    <t>505</t>
  </si>
  <si>
    <t>263</t>
  </si>
  <si>
    <t>SULAMERICANA GASES</t>
  </si>
  <si>
    <t>140</t>
  </si>
  <si>
    <t>CIBARTHA@GMAIL.COM</t>
  </si>
  <si>
    <t>99</t>
  </si>
  <si>
    <t>DARDA@DARDA.COM.BR</t>
  </si>
  <si>
    <t>KM 40</t>
  </si>
  <si>
    <t>VALLIMCONTABIL@GMAIL.COM</t>
  </si>
  <si>
    <t>80</t>
  </si>
  <si>
    <t>PROARCOMERCIAL16@GMAIL.COM</t>
  </si>
  <si>
    <t>GASES DA AMAZONIA FILIAL AMAPA</t>
  </si>
  <si>
    <t>1293A</t>
  </si>
  <si>
    <t>AP</t>
  </si>
  <si>
    <t>FISCAL@GBRINGEL.COM</t>
  </si>
  <si>
    <t>OXINORTE</t>
  </si>
  <si>
    <t>6506</t>
  </si>
  <si>
    <t>QUADRA01                  FUNDOSFUNDOS              LOTE  03</t>
  </si>
  <si>
    <t>OXINORTEOP@GMAIL.COM</t>
  </si>
  <si>
    <t>6086</t>
  </si>
  <si>
    <t xml:space="preserve">      LOTEAMENTO          LOTE  2</t>
  </si>
  <si>
    <t>WHITE MARTINS GASES INDUSTRIAIS DO NORDESTE S/A</t>
  </si>
  <si>
    <t>700</t>
  </si>
  <si>
    <t>LOTE 07 SALA A</t>
  </si>
  <si>
    <t>ESPECIALISTA_FISCAL_CAMPO@LINDE.COM</t>
  </si>
  <si>
    <t>KM    -</t>
  </si>
  <si>
    <t>GEORGE.LAU@LINDE.COM</t>
  </si>
  <si>
    <t>865</t>
  </si>
  <si>
    <t>KM 19</t>
  </si>
  <si>
    <t>KM 218</t>
  </si>
  <si>
    <t>KM    196</t>
  </si>
  <si>
    <t>QUADRA 05                 LOTE   001-E</t>
  </si>
  <si>
    <t>OXIMIL GASES</t>
  </si>
  <si>
    <t>SALA: 506;</t>
  </si>
  <si>
    <t>CONTADOR@OXIMIL.COM.BR</t>
  </si>
  <si>
    <t>540</t>
  </si>
  <si>
    <t>2125</t>
  </si>
  <si>
    <t>KM    65.5</t>
  </si>
  <si>
    <t>LOTE  GLEBA 8</t>
  </si>
  <si>
    <t>IBG8@IBG.COM.BR</t>
  </si>
  <si>
    <t>555</t>
  </si>
  <si>
    <t>SALA 204</t>
  </si>
  <si>
    <t>3200/B</t>
  </si>
  <si>
    <t>3700</t>
  </si>
  <si>
    <t xml:space="preserve">      AREA 720</t>
  </si>
  <si>
    <t>1.200</t>
  </si>
  <si>
    <t>3 B</t>
  </si>
  <si>
    <t xml:space="preserve">      GLEBA LESTE</t>
  </si>
  <si>
    <t>MESHWIRE TITANIUM INDUSTRIAS</t>
  </si>
  <si>
    <t>25</t>
  </si>
  <si>
    <t>LOTE  01</t>
  </si>
  <si>
    <t>REGISLAINE@CRYSTALMIX.COM.BR</t>
  </si>
  <si>
    <t>2238</t>
  </si>
  <si>
    <t>AIR LIQUIDE</t>
  </si>
  <si>
    <t>OXIBORGES</t>
  </si>
  <si>
    <t>773</t>
  </si>
  <si>
    <t>OXIBORGES@BOL.COM.BR</t>
  </si>
  <si>
    <t>OXICARBO</t>
  </si>
  <si>
    <t>212</t>
  </si>
  <si>
    <t>MARCOS.VEIGA@PROENERGYBR.COM</t>
  </si>
  <si>
    <t>PRO AR</t>
  </si>
  <si>
    <t>60</t>
  </si>
  <si>
    <t>KM    06</t>
  </si>
  <si>
    <t>GB GELO SECO</t>
  </si>
  <si>
    <t>626</t>
  </si>
  <si>
    <t>JULIANA@GBGELOSECO.COM.BR</t>
  </si>
  <si>
    <t>OXYNOBRE GASES INDUSTRIAIS</t>
  </si>
  <si>
    <t>BRCAO B-5</t>
  </si>
  <si>
    <t>MAURISMAR@OXYNOBRE.COM.BR</t>
  </si>
  <si>
    <t>1157</t>
  </si>
  <si>
    <t>232</t>
  </si>
  <si>
    <t>CONFISCODIRETORIA@GMAIL.COM</t>
  </si>
  <si>
    <t>MORIA SCP CE 01</t>
  </si>
  <si>
    <t>1477</t>
  </si>
  <si>
    <t>OLITECPAR@GMAIL.COM</t>
  </si>
  <si>
    <t>AIR SOLUTION</t>
  </si>
  <si>
    <t>1386</t>
  </si>
  <si>
    <t>MERITUSCONTABIL@HOTMAIL.COM</t>
  </si>
  <si>
    <t>PUMA GASES</t>
  </si>
  <si>
    <t>7105</t>
  </si>
  <si>
    <t>LOTE  12-6 REM 1-B SALAO A</t>
  </si>
  <si>
    <t>LUX@LUXCONTABILIDADE.COM.BR</t>
  </si>
  <si>
    <t>8234</t>
  </si>
  <si>
    <t>ANDAR 3</t>
  </si>
  <si>
    <t>50</t>
  </si>
  <si>
    <t>1125</t>
  </si>
  <si>
    <t>1-65</t>
  </si>
  <si>
    <t>412</t>
  </si>
  <si>
    <t>526</t>
  </si>
  <si>
    <t>6430</t>
  </si>
  <si>
    <t>96</t>
  </si>
  <si>
    <t>ED NASSAR SALA 305/C</t>
  </si>
  <si>
    <t>8047</t>
  </si>
  <si>
    <t>: MASSANGANA; : DISTR. INDL.SUAPE;</t>
  </si>
  <si>
    <t>IBG7@IBG.COM.BR</t>
  </si>
  <si>
    <t xml:space="preserve">      .</t>
  </si>
  <si>
    <t>890</t>
  </si>
  <si>
    <t>KM    12                        PARTE</t>
  </si>
  <si>
    <t>200</t>
  </si>
  <si>
    <t>5874</t>
  </si>
  <si>
    <t>DIOX GASES MEDICINAIS</t>
  </si>
  <si>
    <t>1.610</t>
  </si>
  <si>
    <t xml:space="preserve">      KM 18 5                   VIA ADUTORA               ACESSO II</t>
  </si>
  <si>
    <t>COMERCIAL@DIOXOXIGENIO.COM.BR</t>
  </si>
  <si>
    <t>S N</t>
  </si>
  <si>
    <t>KM 1</t>
  </si>
  <si>
    <t>600</t>
  </si>
  <si>
    <t>BLOCO 22 SALA 239</t>
  </si>
  <si>
    <t>638</t>
  </si>
  <si>
    <t>1951</t>
  </si>
  <si>
    <t>S/N.</t>
  </si>
  <si>
    <t>LIDER OXIGENIO</t>
  </si>
  <si>
    <t>460</t>
  </si>
  <si>
    <t>QUADRA42                  LOTE  01 A 3 E 28 A 30</t>
  </si>
  <si>
    <t>LIDEROXIGENIOCONTABILIDADE@GMAIL.COM</t>
  </si>
  <si>
    <t>ENVASE - GASES INDUSTRIAIS E MEDICINAIS</t>
  </si>
  <si>
    <t>871</t>
  </si>
  <si>
    <t>LOTE  59                  QUADRAC</t>
  </si>
  <si>
    <t>LG@LGCOMGAS.COM.BR</t>
  </si>
  <si>
    <t>377</t>
  </si>
  <si>
    <t>fiscoprevi@terra.com.br</t>
  </si>
  <si>
    <t>PRACTICE GASES</t>
  </si>
  <si>
    <t>491</t>
  </si>
  <si>
    <t>FINANCEIRO1@PRACTICEGASES.COM.BR</t>
  </si>
  <si>
    <t>KM    01</t>
  </si>
  <si>
    <t>IBG CRYO INDUSTRIA DE GASES</t>
  </si>
  <si>
    <t>230</t>
  </si>
  <si>
    <t>BLOCO B</t>
  </si>
  <si>
    <t>NILSON@IBG.COM.BR</t>
  </si>
  <si>
    <t>LETRA: A;</t>
  </si>
  <si>
    <t>313</t>
  </si>
  <si>
    <t>JC GASES INDUSTRIAIS</t>
  </si>
  <si>
    <t>155</t>
  </si>
  <si>
    <t>JCGASES@OUTLOOK.COM</t>
  </si>
  <si>
    <t>QUADRAC                   LOTE  4</t>
  </si>
  <si>
    <t>837</t>
  </si>
  <si>
    <t>KM    555 - ATUAL 84</t>
  </si>
  <si>
    <t>IMPERIALGASESBR@GMAIL.COM</t>
  </si>
  <si>
    <t>10</t>
  </si>
  <si>
    <t>MARCELO@HEURO.COM.BR</t>
  </si>
  <si>
    <t>254</t>
  </si>
  <si>
    <t>ANDAR 13                  SALA  1314</t>
  </si>
  <si>
    <t>EGARCIA@FMGL.COM.AU</t>
  </si>
  <si>
    <t>QUADRA21                  LOTE  35                  SALA  A</t>
  </si>
  <si>
    <t>ECOCARBO</t>
  </si>
  <si>
    <t xml:space="preserve">      BR470 KM 345              ATRAS UNIDADE 40          COPERCAMPOS</t>
  </si>
  <si>
    <t>EUGENIODEVILA@GMAIL.COM</t>
  </si>
  <si>
    <t>1097</t>
  </si>
  <si>
    <t>PREDIO</t>
  </si>
  <si>
    <t>CHEFNEGOCIOS@ICLOUD.COM</t>
  </si>
  <si>
    <t>GASES INDUSTRIAIS SIMEC</t>
  </si>
  <si>
    <t>900</t>
  </si>
  <si>
    <t>VITOR.COSTA@GRUPOSIMEC.COM.BR</t>
  </si>
  <si>
    <t>3020</t>
  </si>
  <si>
    <t>LETRA C</t>
  </si>
  <si>
    <t>000006</t>
  </si>
  <si>
    <t xml:space="preserve">      TODO IMOVEL KM65</t>
  </si>
  <si>
    <t>ANDAR 19                  CONJ  1901 1902           SALA  1</t>
  </si>
  <si>
    <t>2200</t>
  </si>
  <si>
    <t>2320</t>
  </si>
  <si>
    <t>AIR PRODUCTS</t>
  </si>
  <si>
    <t>250</t>
  </si>
  <si>
    <t>570</t>
  </si>
  <si>
    <t>1401</t>
  </si>
  <si>
    <t>LOTE B QUADRA VI</t>
  </si>
  <si>
    <t>5558</t>
  </si>
  <si>
    <t>3033</t>
  </si>
  <si>
    <t>270</t>
  </si>
  <si>
    <t>KM    03 A 05</t>
  </si>
  <si>
    <t>KM 65</t>
  </si>
  <si>
    <t>66</t>
  </si>
  <si>
    <t>KM    84</t>
  </si>
  <si>
    <t>1555</t>
  </si>
  <si>
    <t>1671</t>
  </si>
  <si>
    <t>905</t>
  </si>
  <si>
    <t>2-89</t>
  </si>
  <si>
    <t>1501</t>
  </si>
  <si>
    <t>E</t>
  </si>
  <si>
    <t>KM    38</t>
  </si>
  <si>
    <t>KM    03                  GALPAO03</t>
  </si>
  <si>
    <t>ca_contabilidade@hotmail.com</t>
  </si>
  <si>
    <t>GASES RENOVAVEIS</t>
  </si>
  <si>
    <t>ANEXO ENGENHO PETRIBU</t>
  </si>
  <si>
    <t>wluiz@petribusa.com.br</t>
  </si>
  <si>
    <t>KM    298</t>
  </si>
  <si>
    <t>240-E</t>
  </si>
  <si>
    <t>ELEKEIROZ S/A</t>
  </si>
  <si>
    <t>3076 A</t>
  </si>
  <si>
    <t>FISCAL@ELEKEIROZ.COM.BR</t>
  </si>
  <si>
    <t>SALLES OFFSHORE</t>
  </si>
  <si>
    <t>1212</t>
  </si>
  <si>
    <t>FINANCEIRO@SALLESOFFSHORE.COM.BR</t>
  </si>
  <si>
    <t>MAIS EXTINTORES</t>
  </si>
  <si>
    <t>75</t>
  </si>
  <si>
    <t>LETRA B</t>
  </si>
  <si>
    <t>KM    284</t>
  </si>
  <si>
    <t>VITA AR</t>
  </si>
  <si>
    <t>5624</t>
  </si>
  <si>
    <t>ANDAR 6                   SALA  02</t>
  </si>
  <si>
    <t>CONTABILIDADE@FOCUSCONTADORES.COM</t>
  </si>
  <si>
    <t>COCAL CO2</t>
  </si>
  <si>
    <t>ANEXO B</t>
  </si>
  <si>
    <t>CMOREIRA@COCAL.COM.BR</t>
  </si>
  <si>
    <t>SALA  104                 BLOCO I                   EDIF  CENTAURO</t>
  </si>
  <si>
    <t>MSAMPAIO@ECOMBUSTIBLE.COM</t>
  </si>
  <si>
    <t>FENIX CONSULTORIA DA AMAZONIA</t>
  </si>
  <si>
    <t>03</t>
  </si>
  <si>
    <t>VICTORWILLIAM67@HOTMAIL.COM</t>
  </si>
  <si>
    <t xml:space="preserve">      AREA 01</t>
  </si>
  <si>
    <t>FINENCEIRO@SALLESOFFSHORE.COM.BR</t>
  </si>
  <si>
    <t>131</t>
  </si>
  <si>
    <t>SALA  1107B</t>
  </si>
  <si>
    <t>ROBERTOSTADLER@GMAIL.COM</t>
  </si>
  <si>
    <t>640</t>
  </si>
  <si>
    <t>AIR GAS</t>
  </si>
  <si>
    <t>36-C</t>
  </si>
  <si>
    <t>MATRIZ.AIRGAS@GMAIL.COM</t>
  </si>
  <si>
    <t>KM    769</t>
  </si>
  <si>
    <t>1879</t>
  </si>
  <si>
    <t xml:space="preserve">      UN HIDROGENIO VERDE</t>
  </si>
  <si>
    <t>PEDRO.TEIXEIRA@UNIGEL.COM.BR</t>
  </si>
  <si>
    <t>CXPST 303</t>
  </si>
  <si>
    <t>1741</t>
  </si>
  <si>
    <t xml:space="preserve">      SALA 04</t>
  </si>
  <si>
    <t>THIAGO.BORGES@APSV.COM.BR</t>
  </si>
  <si>
    <t>ECOHYDROGEN</t>
  </si>
  <si>
    <t xml:space="preserve">      UNIDADE HIDROGENIO        VERDE PARTE B</t>
  </si>
  <si>
    <t>119</t>
  </si>
  <si>
    <t>KM</t>
  </si>
  <si>
    <t>CONJ  411                 ANDAR 4                   COND  INFINITY PRIME OFFICBLOCO TORRE 01 A ROYAL</t>
  </si>
  <si>
    <t>NICHOLAS.JOFFILY@GIACOMITTI.COM.BR</t>
  </si>
  <si>
    <t>GEP GLOBAL</t>
  </si>
  <si>
    <t>3072AP</t>
  </si>
  <si>
    <t>BART@GEP-GLOBAL.COM</t>
  </si>
  <si>
    <t>GEP - SERGIPE</t>
  </si>
  <si>
    <t>LOJA  01</t>
  </si>
  <si>
    <t>DIOXHYCARBO</t>
  </si>
  <si>
    <t>SALA  1</t>
  </si>
  <si>
    <t>BRUNO.GUEDES@DIOXHYCARBO.COM.BR</t>
  </si>
  <si>
    <t>7201</t>
  </si>
  <si>
    <t>ALLENTOWN</t>
  </si>
  <si>
    <t>LOTE  GLEBA 13</t>
  </si>
  <si>
    <t>AIR LIQUIDE INTERNATIONAL S/A</t>
  </si>
  <si>
    <t>AIR LIQUIDE ARGENTINA S/A</t>
  </si>
  <si>
    <t>PISO 4</t>
  </si>
  <si>
    <t>KM    84 01               BLOCO 01 02 E 04</t>
  </si>
  <si>
    <t>AREA B</t>
  </si>
  <si>
    <t>19872</t>
  </si>
  <si>
    <t>KM 171,PORTARIA 4</t>
  </si>
  <si>
    <t>KM 38</t>
  </si>
  <si>
    <t xml:space="preserve">      KM 2,74</t>
  </si>
  <si>
    <t>90</t>
  </si>
  <si>
    <t>20057</t>
  </si>
  <si>
    <t>VIA ANCHIETA KM 13</t>
  </si>
  <si>
    <t>35</t>
  </si>
  <si>
    <t>CONTATO@SOLDAALTOURUGUAI.COM.BR</t>
  </si>
  <si>
    <t>242</t>
  </si>
  <si>
    <t>AIRMIX@AIRMIXGASES.COM.BR</t>
  </si>
  <si>
    <t>QUADRAB                   LOTE  5</t>
  </si>
  <si>
    <t>HELOISAASSESSORIACONTABIL@HOTMAIL.COM</t>
  </si>
  <si>
    <t>CR OXIGENIO</t>
  </si>
  <si>
    <t>QUADRA: F LOTE 12 E 13;</t>
  </si>
  <si>
    <t>101</t>
  </si>
  <si>
    <t>BLOCO 01</t>
  </si>
  <si>
    <t>INOVE OXIGENIO</t>
  </si>
  <si>
    <t>11</t>
  </si>
  <si>
    <t>QUADRA03                  LOTE  11</t>
  </si>
  <si>
    <t>FINANCEIRO@INOVEOXIGENIO.COM.BR</t>
  </si>
  <si>
    <t>1771</t>
  </si>
  <si>
    <t>CRISTINA-REZENDE.SILVA-1@CHEMOURS.COM</t>
  </si>
  <si>
    <t>MOBGAS</t>
  </si>
  <si>
    <t>02848</t>
  </si>
  <si>
    <t xml:space="preserve">      APT 1206 BLC 1</t>
  </si>
  <si>
    <t>LEGALIZACAO@LICITUSCONTABILIDADE.COM.BR</t>
  </si>
  <si>
    <t>RLX FLUOROCHEMICAL</t>
  </si>
  <si>
    <t>450</t>
  </si>
  <si>
    <t>BLOCO C 1</t>
  </si>
  <si>
    <t>AIRBOX</t>
  </si>
  <si>
    <t>POLIGONO INDAL. CONDE 08755</t>
  </si>
  <si>
    <t>SEMIRAMISGOEBEL@GMAIL.COM</t>
  </si>
  <si>
    <t>AIR BIOX</t>
  </si>
  <si>
    <t>KM    119</t>
  </si>
  <si>
    <t>FINANCEIRO@WSGASES.COM.BR</t>
  </si>
  <si>
    <t>SUPER GASES</t>
  </si>
  <si>
    <t>372</t>
  </si>
  <si>
    <t>FINANCEIRO.SUPERGASES@UOL.COM.BR</t>
  </si>
  <si>
    <t>GASMEDE</t>
  </si>
  <si>
    <t>197</t>
  </si>
  <si>
    <t>LOTE  66A Q R1</t>
  </si>
  <si>
    <t>GASMEDE@TERRA.COM.BR</t>
  </si>
  <si>
    <t>SOS SOLUCOES INTEGRADAS</t>
  </si>
  <si>
    <t>298</t>
  </si>
  <si>
    <t>CONTATO@SOSSOLUCOESINTEGRADAS.COM.BR</t>
  </si>
  <si>
    <t>BR GASES</t>
  </si>
  <si>
    <t>105</t>
  </si>
  <si>
    <t>BRGASESINDUSTRIAIS@GMAIL.COM</t>
  </si>
  <si>
    <t>CRIOTECH FABRICACAO DE GASES INDUSTRIAIS LTDA.</t>
  </si>
  <si>
    <t>9</t>
  </si>
  <si>
    <t>DESPACHANTE@BRASCONT.COM.BR</t>
  </si>
  <si>
    <t>1712</t>
  </si>
  <si>
    <t xml:space="preserve">      SALA 02</t>
  </si>
  <si>
    <t>COORD.PARALEGAL@SECRAN.COM.BR</t>
  </si>
  <si>
    <t>3660</t>
  </si>
  <si>
    <t>LOTE  14                  QUADRAA</t>
  </si>
  <si>
    <t>LEGALIZACAO@EDVALDOCONTABILIDADE.CNT.BR</t>
  </si>
  <si>
    <t>KM    95</t>
  </si>
  <si>
    <t>249</t>
  </si>
  <si>
    <t>AIRPURE</t>
  </si>
  <si>
    <t>1711</t>
  </si>
  <si>
    <t>OXIGENIOVILHENA@HOTMAIL.COM</t>
  </si>
  <si>
    <t>188</t>
  </si>
  <si>
    <t>QUADRAW3                  LOTE  004A</t>
  </si>
  <si>
    <t>4250</t>
  </si>
  <si>
    <t>2422</t>
  </si>
  <si>
    <t>6963</t>
  </si>
  <si>
    <t>SETOR II</t>
  </si>
  <si>
    <t>1997</t>
  </si>
  <si>
    <t>655</t>
  </si>
  <si>
    <t>3666</t>
  </si>
  <si>
    <t>ibg6@ibg.com.br</t>
  </si>
  <si>
    <t>KM    12 VIA 3 E VIA 2</t>
  </si>
  <si>
    <t>1400</t>
  </si>
  <si>
    <t>EDIF  MILANO              ANDAR 11</t>
  </si>
  <si>
    <t>NITROXI OXIGENIO</t>
  </si>
  <si>
    <t>QUADRA23                  LOTE  09 11 E 13</t>
  </si>
  <si>
    <t>TO</t>
  </si>
  <si>
    <t>NITROXIOXIGENIO@YAHOO.COM.BR</t>
  </si>
  <si>
    <t>20491</t>
  </si>
  <si>
    <t>1051</t>
  </si>
  <si>
    <t>KM    22</t>
  </si>
  <si>
    <t>GASES DA AMAZONIA</t>
  </si>
  <si>
    <t>0</t>
  </si>
  <si>
    <t xml:space="preserve">      LOTE-17 SAO CARLOS</t>
  </si>
  <si>
    <t>CONT01@GBRINGEL.COM</t>
  </si>
  <si>
    <t>GTI BRASIL</t>
  </si>
  <si>
    <t>400</t>
  </si>
  <si>
    <t>LEGALIZACAO@EFECONTABILIDADE.COM.BR</t>
  </si>
  <si>
    <t>I. G. I. INDUSTRIA DE GASES ITAJAI</t>
  </si>
  <si>
    <t>3369</t>
  </si>
  <si>
    <t>CONTATO@IGIINDUSTRIA.COM.BR</t>
  </si>
  <si>
    <t>791</t>
  </si>
  <si>
    <t>VIPGASES</t>
  </si>
  <si>
    <t>97</t>
  </si>
  <si>
    <t>VIPGASES@GMAIL.COM</t>
  </si>
  <si>
    <t>271</t>
  </si>
  <si>
    <t>AURORA BOREAL GASES</t>
  </si>
  <si>
    <t>000000</t>
  </si>
  <si>
    <t>LOTE  001                 QUADRA006</t>
  </si>
  <si>
    <t>FINANCEIRO@AURORABOREALGASES.COM.BR</t>
  </si>
  <si>
    <t>OXITEM</t>
  </si>
  <si>
    <t>QUADRAIND.2/7             LOTE  24 A 27</t>
  </si>
  <si>
    <t>OXITEMCUIABA@GMAIL.COM</t>
  </si>
  <si>
    <t>GAS NEW</t>
  </si>
  <si>
    <t>QUADRA07                  LOTE  15</t>
  </si>
  <si>
    <t>DIRETORIA.AIRGAS@GMAIL.COM</t>
  </si>
  <si>
    <t>GM GASES MEDICINAIS</t>
  </si>
  <si>
    <t>LOTE  11</t>
  </si>
  <si>
    <t>COMERCIAL@OXIGENIOECIA.COM.BR</t>
  </si>
  <si>
    <t>ANDAR 13                  SALA  1313</t>
  </si>
  <si>
    <t>BRAZILINVOICES@FORTESCUE.COM</t>
  </si>
  <si>
    <t>GAS NEW O</t>
  </si>
  <si>
    <t>SALA  02</t>
  </si>
  <si>
    <t>GASNEWO2@GMAIL.COM</t>
  </si>
  <si>
    <t>ETERNAL POWER</t>
  </si>
  <si>
    <t>20249</t>
  </si>
  <si>
    <t>EUGENIO.VIEIRA@APSV.COM.BR</t>
  </si>
  <si>
    <t>KM    220                       ANEXO</t>
  </si>
  <si>
    <t>OXIGENIO BRASIL</t>
  </si>
  <si>
    <t>218</t>
  </si>
  <si>
    <t>QUADRA151                 LOTE  06</t>
  </si>
  <si>
    <t>ARQ.ALESSANDRACHAVES@GMAIL.COM</t>
  </si>
  <si>
    <t>3502</t>
  </si>
  <si>
    <t>QUADRA01                  LOTE  14</t>
  </si>
  <si>
    <t>PGONCALVES@ECOMBUSTIBLE.COM</t>
  </si>
  <si>
    <t>BARRAGAS</t>
  </si>
  <si>
    <t>1319</t>
  </si>
  <si>
    <t>WALTER@BARRAGAS.COM.BR</t>
  </si>
  <si>
    <t>OXI-BORGES DISTRIB. DE GASES MEDICINAIS E INDUSTRIAIS</t>
  </si>
  <si>
    <t>TERREOGALPAO</t>
  </si>
  <si>
    <t>OXIBORGESRN@GMAIL.COM</t>
  </si>
  <si>
    <t>GASES INDUSTRIA</t>
  </si>
  <si>
    <t>NUMERO INTERIOR:120 44160</t>
  </si>
  <si>
    <t>2181</t>
  </si>
  <si>
    <t>ATENDIMENTO@CRIOBRAS.COM.BR</t>
  </si>
  <si>
    <t>1513</t>
  </si>
  <si>
    <t>LETRA A</t>
  </si>
  <si>
    <t>ADM.GAZZON@GMAIL.COM</t>
  </si>
  <si>
    <t>2776</t>
  </si>
  <si>
    <t>888</t>
  </si>
  <si>
    <t>1334</t>
  </si>
  <si>
    <t>311</t>
  </si>
  <si>
    <t>1460</t>
  </si>
  <si>
    <t>AREA C</t>
  </si>
  <si>
    <t>551</t>
  </si>
  <si>
    <t>CIRLENE@TRIOXGASES.COM.BR</t>
  </si>
  <si>
    <t>336</t>
  </si>
  <si>
    <t>LOTE 2  - MODULO 1</t>
  </si>
  <si>
    <t>5093</t>
  </si>
  <si>
    <t>1053</t>
  </si>
  <si>
    <t>KM 41, 24</t>
  </si>
  <si>
    <t>KM 59,5</t>
  </si>
  <si>
    <t>VEIGA GASES.</t>
  </si>
  <si>
    <t>238</t>
  </si>
  <si>
    <t>FINANCEIRO@VEIGAGASES.COM.BR</t>
  </si>
  <si>
    <t>2971</t>
  </si>
  <si>
    <t>OXICAM GASES</t>
  </si>
  <si>
    <t>246</t>
  </si>
  <si>
    <t>CONTFAB@CONTFAB.COM.BR</t>
  </si>
  <si>
    <t>GASMED-PB</t>
  </si>
  <si>
    <t>785</t>
  </si>
  <si>
    <t>GALPAOB</t>
  </si>
  <si>
    <t>IPG-PARAIBA@HOTMAIL.COM</t>
  </si>
  <si>
    <t>S/N:</t>
  </si>
  <si>
    <t>: KM 304;</t>
  </si>
  <si>
    <t xml:space="preserve">      COMPLEXO INDUSTRIAL       SUAPE</t>
  </si>
  <si>
    <t>KM    11,5                      PARTE</t>
  </si>
  <si>
    <t>GTS</t>
  </si>
  <si>
    <t>16121</t>
  </si>
  <si>
    <t>INFO@GTSSPA.EU</t>
  </si>
  <si>
    <t>ITAGASES</t>
  </si>
  <si>
    <t>416</t>
  </si>
  <si>
    <t>MARIO-OAB@HOTMAIL.COM</t>
  </si>
  <si>
    <t>355</t>
  </si>
  <si>
    <t>LOTE  7                   QUADRA1                   SALA  A</t>
  </si>
  <si>
    <t>VIKA BRASIL H2</t>
  </si>
  <si>
    <t>2600</t>
  </si>
  <si>
    <t xml:space="preserve">      SALA 01</t>
  </si>
  <si>
    <t>JOSEVENTURA@ESPLENDIDOENIGMA.PT</t>
  </si>
  <si>
    <t>3679</t>
  </si>
  <si>
    <t>C2H2</t>
  </si>
  <si>
    <t>332</t>
  </si>
  <si>
    <t>C2H2LTDA@GMAIL.COM</t>
  </si>
  <si>
    <t>LOTE  01 E 02             QUADRA06</t>
  </si>
  <si>
    <t>SINAI SCP-PA 02</t>
  </si>
  <si>
    <t>13</t>
  </si>
  <si>
    <t>LOTE  JD PINDORAMA II PASS      VILA NOVA</t>
  </si>
  <si>
    <t>3515</t>
  </si>
  <si>
    <t>235</t>
  </si>
  <si>
    <t>LOTE  09                  QUADRAF</t>
  </si>
  <si>
    <t>1119</t>
  </si>
  <si>
    <t>VENUSIANA.SANTOS@LINDE.COM</t>
  </si>
  <si>
    <t>KM 38 PARTE</t>
  </si>
  <si>
    <t>DISTRITO INDUSTRIAL</t>
  </si>
  <si>
    <t>938</t>
  </si>
  <si>
    <t>IBG04@IBG.COM.BR</t>
  </si>
  <si>
    <t>IBG</t>
  </si>
  <si>
    <t xml:space="preserve">      RODOVIA BR 101            KM 271</t>
  </si>
  <si>
    <t>ibg9@ibg.com.br</t>
  </si>
  <si>
    <t>LG.BR.QUALIDADEGAMAGASES@LINDE.COM</t>
  </si>
  <si>
    <t>ECCOFINA</t>
  </si>
  <si>
    <t>237</t>
  </si>
  <si>
    <t>SUITE B</t>
  </si>
  <si>
    <t>daniela@eccofina.com</t>
  </si>
  <si>
    <t>KM 136 30</t>
  </si>
  <si>
    <t>706</t>
  </si>
  <si>
    <t>ATRIUM GASES INDUSTRIAIS</t>
  </si>
  <si>
    <t>1173</t>
  </si>
  <si>
    <t>BLOCO 2 OU B              SALA  601 OU 601-B        ANEXO 1</t>
  </si>
  <si>
    <t>JOAO.BNX@GMAIL.COM</t>
  </si>
  <si>
    <t>170</t>
  </si>
  <si>
    <t>QUADRA3                   LOTE  14 A 21 E 49 A 56</t>
  </si>
  <si>
    <t>KM:  BR 040 KM 572;</t>
  </si>
  <si>
    <t>1090</t>
  </si>
  <si>
    <t>COMERCIAL@BAXQUALITY.COM.BR</t>
  </si>
  <si>
    <t>SINAI MEDICALL</t>
  </si>
  <si>
    <t>LOTE  JD PINDORAMA II           PASS VILA NOVA</t>
  </si>
  <si>
    <t>5975</t>
  </si>
  <si>
    <t>QUADRAXI                  LOTE  07</t>
  </si>
  <si>
    <t>1245</t>
  </si>
  <si>
    <t>LUIZ@EPGI.COM.BR</t>
  </si>
  <si>
    <t>KM: 365.95;</t>
  </si>
  <si>
    <t>LIDER GASES</t>
  </si>
  <si>
    <t>120</t>
  </si>
  <si>
    <t>LOTE  0021                QUADRA0005</t>
  </si>
  <si>
    <t>LIDER@LIDERGASESMG.COM.BR</t>
  </si>
  <si>
    <t>14</t>
  </si>
  <si>
    <t>GALPAO01</t>
  </si>
  <si>
    <t>FINANCEIRO@ARMENIAN.COM.BR</t>
  </si>
  <si>
    <t>ZYKLON GASES ESPECIAIS</t>
  </si>
  <si>
    <t>16</t>
  </si>
  <si>
    <t>RENATOKUHN@HOTMAIL.COM</t>
  </si>
  <si>
    <t>SO CO2 E GASES ESPECIAIS</t>
  </si>
  <si>
    <t>05</t>
  </si>
  <si>
    <t>SOCO2GASES@GMAIL.COM</t>
  </si>
  <si>
    <t>UDX RJ2</t>
  </si>
  <si>
    <t>00500</t>
  </si>
  <si>
    <t xml:space="preserve">      BLC 21 SAL 228</t>
  </si>
  <si>
    <t>63</t>
  </si>
  <si>
    <t>SALA  42</t>
  </si>
  <si>
    <t>ALEXSCSANDRO@GMAIL.COM</t>
  </si>
  <si>
    <t>GEP MARANHAO</t>
  </si>
  <si>
    <t>KM    7.2                 GALPAOB</t>
  </si>
  <si>
    <t>3715</t>
  </si>
  <si>
    <t>LT 33 Q K ZONA 31</t>
  </si>
  <si>
    <t>741</t>
  </si>
  <si>
    <t xml:space="preserve">      GLEBA 1</t>
  </si>
  <si>
    <t>HORTOSOLDAS1994@GMAIL.COM</t>
  </si>
  <si>
    <t>3880</t>
  </si>
  <si>
    <t>LOTE  28-C</t>
  </si>
  <si>
    <t>QUADRAAREA                LOTE  01 UNIDADE 1</t>
  </si>
  <si>
    <t>QUADRA02                  LOTE  04</t>
  </si>
  <si>
    <t>NEWTON@IBG.COM.BR</t>
  </si>
  <si>
    <t>se</t>
  </si>
  <si>
    <t>Planta</t>
  </si>
  <si>
    <t>Não Planta</t>
  </si>
  <si>
    <t>Potencial Planta</t>
  </si>
  <si>
    <t>relacao</t>
  </si>
  <si>
    <t>polo_mais_proximo</t>
  </si>
  <si>
    <t>tipo_polo</t>
  </si>
  <si>
    <t>distancia_min_km</t>
  </si>
  <si>
    <t>lat</t>
  </si>
  <si>
    <t>lon</t>
  </si>
  <si>
    <t>fonte_geo</t>
  </si>
  <si>
    <t>cidade_geo</t>
  </si>
  <si>
    <t>uf_geo</t>
  </si>
  <si>
    <t>observacao_geo</t>
  </si>
  <si>
    <t>80km</t>
  </si>
  <si>
    <t>Marechal Deodoro/AL</t>
  </si>
  <si>
    <t>quimico_cloroquimico</t>
  </si>
  <si>
    <t>Nominatim/OpenStreetMap</t>
  </si>
  <si>
    <t>Maceió</t>
  </si>
  <si>
    <t>CTF_APP</t>
  </si>
  <si>
    <t>Uberaba/MG</t>
  </si>
  <si>
    <t>fertilizantes_quimico</t>
  </si>
  <si>
    <t>Cuiabá</t>
  </si>
  <si>
    <t>Santa Cruz/Ternium/RJ</t>
  </si>
  <si>
    <t>siderurgia</t>
  </si>
  <si>
    <t>Rio de Janeiro</t>
  </si>
  <si>
    <t>CTF_APP e 80km</t>
  </si>
  <si>
    <t>Paulínia/REPLAN/SP</t>
  </si>
  <si>
    <t>refino_petroquimico</t>
  </si>
  <si>
    <t>Rio Claro</t>
  </si>
  <si>
    <t>Coordenada aproximada pelo município, não pelo CEP exato.</t>
  </si>
  <si>
    <t>Tatuí</t>
  </si>
  <si>
    <t>Brasília</t>
  </si>
  <si>
    <t>Bauru</t>
  </si>
  <si>
    <t>Camaçari/BA</t>
  </si>
  <si>
    <t>petroquimico</t>
  </si>
  <si>
    <t>Camaçari</t>
  </si>
  <si>
    <t>Três Lagoas</t>
  </si>
  <si>
    <t>Vinhedo</t>
  </si>
  <si>
    <t>Indianópolis</t>
  </si>
  <si>
    <t>Duque de Caxias/REDUC/RJ</t>
  </si>
  <si>
    <t>Juiz de Fora</t>
  </si>
  <si>
    <t>Pecém/CE</t>
  </si>
  <si>
    <t>porto_industrial</t>
  </si>
  <si>
    <t>Parnaíba</t>
  </si>
  <si>
    <t>Belford Roxo</t>
  </si>
  <si>
    <t>Triunfo/RS</t>
  </si>
  <si>
    <t>Triunfo</t>
  </si>
  <si>
    <t>Jundiaí</t>
  </si>
  <si>
    <t>Americana</t>
  </si>
  <si>
    <t>Cubatão/SP</t>
  </si>
  <si>
    <t>industrial_siderurgico</t>
  </si>
  <si>
    <t>Cubatão</t>
  </si>
  <si>
    <t>Serra/Tubarão/ES</t>
  </si>
  <si>
    <t>siderurgia_portuario</t>
  </si>
  <si>
    <t>Vitória</t>
  </si>
  <si>
    <t>Laranjeiras/SE</t>
  </si>
  <si>
    <t>fertilizantes_amonia</t>
  </si>
  <si>
    <t>Laranjeiras</t>
  </si>
  <si>
    <t>Barcarena/Vila do Conde/PA</t>
  </si>
  <si>
    <t>alumina_aluminio_portuario</t>
  </si>
  <si>
    <t>Barcarena</t>
  </si>
  <si>
    <t>Uberlândia</t>
  </si>
  <si>
    <t>Barreiro/BH/MG</t>
  </si>
  <si>
    <t>industrial_metalurgico</t>
  </si>
  <si>
    <t>Contagem</t>
  </si>
  <si>
    <t>Piracicaba</t>
  </si>
  <si>
    <t>São José do Rio Preto</t>
  </si>
  <si>
    <t>Jacareí/SP</t>
  </si>
  <si>
    <t>gases_industriais</t>
  </si>
  <si>
    <t>Guaratinguetá</t>
  </si>
  <si>
    <t>Suape/PE</t>
  </si>
  <si>
    <t>Goiana</t>
  </si>
  <si>
    <t>ABC/Capuava/SP</t>
  </si>
  <si>
    <t>petroquimico_industrial</t>
  </si>
  <si>
    <t>Suzano</t>
  </si>
  <si>
    <t>Araucária/REPAR/PR</t>
  </si>
  <si>
    <t>refino</t>
  </si>
  <si>
    <t>Curitiba</t>
  </si>
  <si>
    <t>Canoas/REFAP/RS</t>
  </si>
  <si>
    <t>Fortaleza de Minas</t>
  </si>
  <si>
    <t>Cabo de Santo Agostinho</t>
  </si>
  <si>
    <t>Porto Velho</t>
  </si>
  <si>
    <t>Goiânia</t>
  </si>
  <si>
    <t>Santo André</t>
  </si>
  <si>
    <t>Joinville</t>
  </si>
  <si>
    <t>Canoas</t>
  </si>
  <si>
    <t>Osasco</t>
  </si>
  <si>
    <t>Taubaté</t>
  </si>
  <si>
    <t>Barueri</t>
  </si>
  <si>
    <t>Londrina</t>
  </si>
  <si>
    <t>Macaé/RJ</t>
  </si>
  <si>
    <t>oleo_gas</t>
  </si>
  <si>
    <t>Macaé</t>
  </si>
  <si>
    <t>Campinas</t>
  </si>
  <si>
    <t>Vale do Aço/MG</t>
  </si>
  <si>
    <t>Ipatinga</t>
  </si>
  <si>
    <t>Mucuri</t>
  </si>
  <si>
    <t>Itaboraí</t>
  </si>
  <si>
    <t>Barra Velha</t>
  </si>
  <si>
    <t>Paulínia</t>
  </si>
  <si>
    <t>Teresina</t>
  </si>
  <si>
    <t>Marabá</t>
  </si>
  <si>
    <t>Volta Redonda/CSN/RJ</t>
  </si>
  <si>
    <t>Sapucaia do Sul</t>
  </si>
  <si>
    <t>Correia Pinto</t>
  </si>
  <si>
    <t>Timóteo</t>
  </si>
  <si>
    <t>Aparecida de Goiânia</t>
  </si>
  <si>
    <t>Montes Claros</t>
  </si>
  <si>
    <t>Charqueadas</t>
  </si>
  <si>
    <t>Dias D'Ávila</t>
  </si>
  <si>
    <t>São José dos Campos</t>
  </si>
  <si>
    <t>Ananindeua</t>
  </si>
  <si>
    <t>Ortigueira</t>
  </si>
  <si>
    <t>Catolé do Rocha</t>
  </si>
  <si>
    <t>Lençóis Paulista</t>
  </si>
  <si>
    <t>São Paulo</t>
  </si>
  <si>
    <t>Guarulhos</t>
  </si>
  <si>
    <t>Mauá</t>
  </si>
  <si>
    <t>Serra</t>
  </si>
  <si>
    <t>Aracruz</t>
  </si>
  <si>
    <t>Cariacica</t>
  </si>
  <si>
    <t>Jaboatão dos Guararapes</t>
  </si>
  <si>
    <t>Simões Filho</t>
  </si>
  <si>
    <t>Belém</t>
  </si>
  <si>
    <t>João Monlevade/MG</t>
  </si>
  <si>
    <t>João Monlevade</t>
  </si>
  <si>
    <t>Santa Bárbara</t>
  </si>
  <si>
    <t>Sertãozinho</t>
  </si>
  <si>
    <t>Volta Redonda</t>
  </si>
  <si>
    <t>Ourinhos</t>
  </si>
  <si>
    <t>Ouro Branco/MG</t>
  </si>
  <si>
    <t>Jeceaba</t>
  </si>
  <si>
    <t>Imperatriz</t>
  </si>
  <si>
    <t>Belo Horizonte</t>
  </si>
  <si>
    <t>Forquilhinha</t>
  </si>
  <si>
    <t>São José</t>
  </si>
  <si>
    <t>Mataripe/Candeias/BA</t>
  </si>
  <si>
    <t>Salvador</t>
  </si>
  <si>
    <t>BrasilAPI CEP v2</t>
  </si>
  <si>
    <t>Jacareí</t>
  </si>
  <si>
    <t>Divinópolis</t>
  </si>
  <si>
    <t>Congonhas</t>
  </si>
  <si>
    <t>Guaíba</t>
  </si>
  <si>
    <t>Uberaba</t>
  </si>
  <si>
    <t>Chapecó</t>
  </si>
  <si>
    <t>Três Marias</t>
  </si>
  <si>
    <t>Maracanaú</t>
  </si>
  <si>
    <t>Aracaju</t>
  </si>
  <si>
    <t>Hidrolândia</t>
  </si>
  <si>
    <t>Duque de Caxias</t>
  </si>
  <si>
    <t>Mogi Guaçu</t>
  </si>
  <si>
    <t>Descalvado</t>
  </si>
  <si>
    <t>Resende</t>
  </si>
  <si>
    <t>Inocência</t>
  </si>
  <si>
    <t>Maringá</t>
  </si>
  <si>
    <t>Candeias</t>
  </si>
  <si>
    <t>Diadema</t>
  </si>
  <si>
    <t>Recife</t>
  </si>
  <si>
    <t>Marechal Deodoro</t>
  </si>
  <si>
    <t>Barra Mansa</t>
  </si>
  <si>
    <t>Ourilândia do Norte</t>
  </si>
  <si>
    <t>Itajaí</t>
  </si>
  <si>
    <t>Fortaleza</t>
  </si>
  <si>
    <t>Araucária</t>
  </si>
  <si>
    <t>Cruz Alta</t>
  </si>
  <si>
    <t>Araraquara</t>
  </si>
  <si>
    <t>Manaus</t>
  </si>
  <si>
    <t>São Gonçalo do Amarante</t>
  </si>
  <si>
    <t>Anápolis</t>
  </si>
  <si>
    <t>Poços de Caldas</t>
  </si>
  <si>
    <t>Parnamirim</t>
  </si>
  <si>
    <t>São Bernardo do Campo</t>
  </si>
  <si>
    <t>Caçapava</t>
  </si>
  <si>
    <t>Blumenau</t>
  </si>
  <si>
    <t>Garibaldi</t>
  </si>
  <si>
    <t>Santa Maria</t>
  </si>
  <si>
    <t>São Luís</t>
  </si>
  <si>
    <t>Mogi das Cruzes</t>
  </si>
  <si>
    <t>Cambé</t>
  </si>
  <si>
    <t>Barão de Cocais</t>
  </si>
  <si>
    <t>Hortolândia</t>
  </si>
  <si>
    <t>Araquari</t>
  </si>
  <si>
    <t>Ulianópolis</t>
  </si>
  <si>
    <t>João Pessoa</t>
  </si>
  <si>
    <t>Barretos</t>
  </si>
  <si>
    <t>Campo Largo</t>
  </si>
  <si>
    <t>Valinhos</t>
  </si>
  <si>
    <t>Pará de Minas</t>
  </si>
  <si>
    <t>Vitória de Santo Antão</t>
  </si>
  <si>
    <t>Pirassununga</t>
  </si>
  <si>
    <t>Macapá</t>
  </si>
  <si>
    <t>Sorriso</t>
  </si>
  <si>
    <t>Nova Lima</t>
  </si>
  <si>
    <t>Caxias do Sul</t>
  </si>
  <si>
    <t>Benevides</t>
  </si>
  <si>
    <t>São Carlos</t>
  </si>
  <si>
    <t>Jaboticabal</t>
  </si>
  <si>
    <t>Ibirité</t>
  </si>
  <si>
    <t>Rio Verde</t>
  </si>
  <si>
    <t>Campos Novos</t>
  </si>
  <si>
    <t>Santo Ângelo</t>
  </si>
  <si>
    <t>Lagoa do Itaenga</t>
  </si>
  <si>
    <t>Tabatinga</t>
  </si>
  <si>
    <t>Florianópolis</t>
  </si>
  <si>
    <t>Linhares</t>
  </si>
  <si>
    <t>Sorocaba</t>
  </si>
  <si>
    <t>Paulo Bento</t>
  </si>
  <si>
    <t>Rio Largo</t>
  </si>
  <si>
    <t>Várzea Grande</t>
  </si>
  <si>
    <t>Carapicuíba</t>
  </si>
  <si>
    <t>Pinhais</t>
  </si>
  <si>
    <t>Vilhena</t>
  </si>
  <si>
    <t>Palmas</t>
  </si>
  <si>
    <t>Araguaína</t>
  </si>
  <si>
    <t>Santo Antônio do Descoberto</t>
  </si>
  <si>
    <t>Goianésia</t>
  </si>
  <si>
    <t>Barra Bonita</t>
  </si>
  <si>
    <t>Tubarão</t>
  </si>
  <si>
    <t>Betim</t>
  </si>
  <si>
    <t>Araçatuba</t>
  </si>
  <si>
    <t>Passo Fundo</t>
  </si>
  <si>
    <t>Itumbiara</t>
  </si>
  <si>
    <t>Canela</t>
  </si>
  <si>
    <t>local</t>
  </si>
  <si>
    <t>Sem Relação</t>
  </si>
  <si>
    <t>Relação</t>
  </si>
  <si>
    <t>Conceito de Planta</t>
  </si>
  <si>
    <t>AIRLIQUIDE</t>
  </si>
  <si>
    <t>WHITEMARTINS</t>
  </si>
  <si>
    <t>veredito</t>
  </si>
  <si>
    <t>MESSER</t>
  </si>
  <si>
    <t>Air Liquide</t>
  </si>
  <si>
    <t>Oxynobre</t>
  </si>
  <si>
    <t>Narandiba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</si>
</sst>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2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2D448C46-F559-4013-9F27-8A5E146171D7}" autoFormatId="16" applyNumberFormats="0" applyBorderFormats="0" applyFontFormats="0" applyPatternFormats="0" applyAlignmentFormats="0" applyWidthHeightFormats="0">
  <queryTableRefresh nextId="18" unboundColumnsRight="4">
    <queryTableFields count="15">
      <queryTableField id="1" name="cnpj" tableColumnId="1"/>
      <queryTableField id="2" name="nome_fantasia" tableColumnId="2"/>
      <queryTableField id="3" name="situacao_cadastral" tableColumnId="3"/>
      <queryTableField id="4" name="pais" tableColumnId="4"/>
      <queryTableField id="5" name="cnae_principal" tableColumnId="5"/>
      <queryTableField id="6" name="numero" tableColumnId="6"/>
      <queryTableField id="7" name="complemento" tableColumnId="7"/>
      <queryTableField id="8" name="cep" tableColumnId="8"/>
      <queryTableField id="9" name="uf" tableColumnId="9"/>
      <queryTableField id="10" name="municipio" tableColumnId="10"/>
      <queryTableField id="11" name="email" tableColumnId="11"/>
      <queryTableField id="12" dataBound="0" tableColumnId="12"/>
      <queryTableField id="13" dataBound="0" tableColumnId="13"/>
      <queryTableField id="16" dataBound="0" tableColumnId="16"/>
      <queryTableField id="17" dataBound="0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5" xr16:uid="{5B30A673-A543-48FF-8107-1CCF6D6DB96C}" autoFormatId="16" applyNumberFormats="0" applyBorderFormats="0" applyFontFormats="0" applyPatternFormats="0" applyAlignmentFormats="0" applyWidthHeightFormats="0">
  <queryTableRefresh nextId="20" unboundColumnsRight="2">
    <queryTableFields count="17">
      <queryTableField id="1" name="cnpj" tableColumnId="1"/>
      <queryTableField id="2" name="output" tableColumnId="2"/>
      <queryTableField id="3" name="relacao" tableColumnId="3"/>
      <queryTableField id="4" name="cep" tableColumnId="4"/>
      <queryTableField id="5" name="uf" tableColumnId="5"/>
      <queryTableField id="6" name="municipio" tableColumnId="6"/>
      <queryTableField id="7" name="polo_mais_proximo" tableColumnId="7"/>
      <queryTableField id="8" name="tipo_polo" tableColumnId="8"/>
      <queryTableField id="9" name="distancia_min_km" tableColumnId="9"/>
      <queryTableField id="10" name="lat" tableColumnId="10"/>
      <queryTableField id="11" name="lon" tableColumnId="11"/>
      <queryTableField id="12" name="fonte_geo" tableColumnId="12"/>
      <queryTableField id="13" name="cidade_geo" tableColumnId="13"/>
      <queryTableField id="14" name="uf_geo" tableColumnId="14"/>
      <queryTableField id="15" name="observacao_geo" tableColumnId="15"/>
      <queryTableField id="18" dataBound="0" tableColumnId="18"/>
      <queryTableField id="16" dataBound="0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BBDEB2-CD72-4757-867C-753767B24FDB}" name="empresas_filtradas" displayName="empresas_filtradas" ref="A1:O394" tableType="queryTable" totalsRowShown="0">
  <autoFilter ref="A1:O394" xr:uid="{40BBDEB2-CD72-4757-867C-753767B24FDB}">
    <filterColumn colId="12">
      <filters>
        <filter val="Sem Relação"/>
      </filters>
    </filterColumn>
  </autoFilter>
  <tableColumns count="15">
    <tableColumn id="1" xr3:uid="{68F5A3DC-4E00-4148-9EE1-953614C84BD2}" uniqueName="1" name="cnpj" queryTableFieldId="1"/>
    <tableColumn id="2" xr3:uid="{1EBF7BB4-6949-49B8-875C-494F72E9E8C1}" uniqueName="2" name="nome_fantasia" queryTableFieldId="2" dataDxfId="23"/>
    <tableColumn id="3" xr3:uid="{871A2384-D4C8-4FE9-BCD6-211360C525C7}" uniqueName="3" name="situacao_cadastral" queryTableFieldId="3"/>
    <tableColumn id="4" xr3:uid="{72708BF3-D7DF-414B-9CF1-C83D76888F13}" uniqueName="4" name="pais" queryTableFieldId="4"/>
    <tableColumn id="5" xr3:uid="{084504D6-C827-4207-A72F-62B22FA1A8EA}" uniqueName="5" name="cnae_principal" queryTableFieldId="5"/>
    <tableColumn id="6" xr3:uid="{0944F626-505C-4072-A78D-0EC8E1ACD868}" uniqueName="6" name="numero" queryTableFieldId="6" dataDxfId="22"/>
    <tableColumn id="7" xr3:uid="{98121819-C9BB-4DF3-AD2A-AF01077F5F9D}" uniqueName="7" name="complemento" queryTableFieldId="7" dataDxfId="21"/>
    <tableColumn id="8" xr3:uid="{FDDDAACF-B842-454C-A891-1CFFDAEA00CC}" uniqueName="8" name="cep" queryTableFieldId="8"/>
    <tableColumn id="9" xr3:uid="{6091A870-0A59-4197-A515-F84FB8E1C0A5}" uniqueName="9" name="uf" queryTableFieldId="9" dataDxfId="20"/>
    <tableColumn id="10" xr3:uid="{6F3016BC-3C07-4AB7-91B8-69E4A0AAAA10}" uniqueName="10" name="municipio" queryTableFieldId="10"/>
    <tableColumn id="11" xr3:uid="{4275397B-03AB-460B-8B85-E2B94A70119C}" uniqueName="11" name="email" queryTableFieldId="11" dataDxfId="19"/>
    <tableColumn id="12" xr3:uid="{8F6F6296-AF36-440F-9519-E30FCA6BE680}" uniqueName="12" name="se" queryTableFieldId="12" dataDxfId="18">
      <calculatedColumnFormula array="1">IF(SUMPRODUCT(COUNTIF(empresas_filtradas[[#This Row],[cnpj]:[email]],"*"&amp;#REF!&amp;"*"))&gt;0,"sim","não")</calculatedColumnFormula>
    </tableColumn>
    <tableColumn id="13" xr3:uid="{5BEA31DE-BBFB-4CDD-A3FF-18EF041282A9}" uniqueName="13" name="veredito" queryTableFieldId="13" dataDxfId="17"/>
    <tableColumn id="16" xr3:uid="{D3F62564-95EA-4AF7-A370-72A09919298F}" uniqueName="16" name="output" queryTableFieldId="16" dataDxfId="16">
      <calculatedColumnFormula>_xlfn.XLOOKUP(empresas_filtradas[[#This Row],[cnpj]], empresas_identificadas_compleme!A:A, empresas_identificadas_compleme!B:B)</calculatedColumnFormula>
    </tableColumn>
    <tableColumn id="17" xr3:uid="{E079F6DE-CD55-4C37-88AA-EAB674669A90}" uniqueName="17" name="local" queryTableFieldId="17" dataDxfId="15">
      <calculatedColumnFormula>_xlfn.XLOOKUP(empresas_filtradas[[#This Row],[cnpj]], empresas_identificadas_compleme!A:A, empresas_identificadas_compleme!C:C)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E726D04-03D7-464F-AAA5-8B6ABF5AA48F}" name="empresas_identificadas_complementadas" displayName="empresas_identificadas_complementadas" ref="A1:Q371" tableType="queryTable" totalsRowShown="0">
  <autoFilter ref="A1:Q371" xr:uid="{AE726D04-03D7-464F-AAA5-8B6ABF5AA48F}"/>
  <sortState xmlns:xlrd2="http://schemas.microsoft.com/office/spreadsheetml/2017/richdata2" ref="A227:Q371">
    <sortCondition ref="Q1:Q371"/>
  </sortState>
  <tableColumns count="17">
    <tableColumn id="1" xr3:uid="{1321F3CC-5E10-4CF7-9713-83F57ED465C9}" uniqueName="1" name="cnpj" queryTableFieldId="1" dataDxfId="14"/>
    <tableColumn id="2" xr3:uid="{5CF9026B-D9C7-4795-AD36-0C85BAF47BF6}" uniqueName="2" name="output" queryTableFieldId="2" dataDxfId="13"/>
    <tableColumn id="3" xr3:uid="{B645EB8A-5D5A-4996-A3D0-DB3194E0DF0F}" uniqueName="3" name="relacao" queryTableFieldId="3" dataDxfId="12"/>
    <tableColumn id="4" xr3:uid="{AF2BA73E-C9DE-4169-89D5-61431D9337CE}" uniqueName="4" name="cep" queryTableFieldId="4"/>
    <tableColumn id="5" xr3:uid="{5199C258-E0CF-413C-9814-ACF4F379CABD}" uniqueName="5" name="uf" queryTableFieldId="5" dataDxfId="11"/>
    <tableColumn id="6" xr3:uid="{79DD09BF-D6B2-4CA1-BB7F-63607F7286AD}" uniqueName="6" name="municipio" queryTableFieldId="6"/>
    <tableColumn id="7" xr3:uid="{E96B9D48-A6B5-4EAD-B6ED-0846742662EB}" uniqueName="7" name="polo_mais_proximo" queryTableFieldId="7" dataDxfId="10"/>
    <tableColumn id="8" xr3:uid="{17A47373-902F-4FD1-84C0-EA0036E428D2}" uniqueName="8" name="tipo_polo" queryTableFieldId="8" dataDxfId="9"/>
    <tableColumn id="9" xr3:uid="{22818A4D-8FDA-4D7E-893A-D5CBBA4502A4}" uniqueName="9" name="distancia_min_km" queryTableFieldId="9"/>
    <tableColumn id="10" xr3:uid="{A3C0AA96-D4F0-40F8-96F7-38F2B949CEC4}" uniqueName="10" name="lat" queryTableFieldId="10"/>
    <tableColumn id="11" xr3:uid="{00A7FB8C-D0C7-4400-A823-380B5EA905FE}" uniqueName="11" name="lon" queryTableFieldId="11"/>
    <tableColumn id="12" xr3:uid="{E0993813-68DE-4382-BB49-6ACDBA173277}" uniqueName="12" name="fonte_geo" queryTableFieldId="12" dataDxfId="8"/>
    <tableColumn id="13" xr3:uid="{8A506FC7-D256-4027-91CD-8C2C19BBFA2E}" uniqueName="13" name="cidade_geo" queryTableFieldId="13" dataDxfId="7"/>
    <tableColumn id="14" xr3:uid="{B66A7CCE-5280-4166-AD6E-02867E34DD4E}" uniqueName="14" name="uf_geo" queryTableFieldId="14" dataDxfId="6"/>
    <tableColumn id="15" xr3:uid="{926C40EE-7680-440A-9B42-5BC8A09E2653}" uniqueName="15" name="observacao_geo" queryTableFieldId="15" dataDxfId="5"/>
    <tableColumn id="18" xr3:uid="{4C55CCC4-3857-4564-802D-B7CBE2E0F071}" uniqueName="18" name="email" queryTableFieldId="18" dataDxfId="4">
      <calculatedColumnFormula>_xlfn.XLOOKUP(empresas_identificadas_complementadas[[#This Row],[cnpj]],empresas_filtradas[cnpj],empresas_filtradas[email])</calculatedColumnFormula>
    </tableColumn>
    <tableColumn id="16" xr3:uid="{C56D5E8E-C349-4762-BEDB-C7754DC9A123}" uniqueName="16" name="veredito" queryTableFieldId="16" dataDxfId="3">
      <calculatedColumnFormula>_xlfn.XLOOKUP(empresas_identificadas_complementadas[[#This Row],[cnpj]],empresas_filtradas!A:A,empresas_filtradas!M:M)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8710B-CF1E-418E-9CF5-CABF3BEDA687}">
  <dimension ref="A1:O394"/>
  <sheetViews>
    <sheetView zoomScale="106" workbookViewId="0">
      <selection activeCell="M6" sqref="M6"/>
    </sheetView>
  </sheetViews>
  <sheetFormatPr defaultRowHeight="15" x14ac:dyDescent="0.25"/>
  <cols>
    <col min="1" max="1" width="16.140625" bestFit="1" customWidth="1"/>
    <col min="2" max="2" width="54.85546875" bestFit="1" customWidth="1"/>
    <col min="3" max="3" width="19.7109375" bestFit="1" customWidth="1"/>
    <col min="4" max="4" width="6.85546875" bestFit="1" customWidth="1"/>
    <col min="5" max="5" width="16.28515625" bestFit="1" customWidth="1"/>
    <col min="6" max="6" width="10.28515625" bestFit="1" customWidth="1"/>
    <col min="7" max="7" width="81.140625" bestFit="1" customWidth="1"/>
    <col min="8" max="8" width="9" bestFit="1" customWidth="1"/>
    <col min="9" max="9" width="5.140625" bestFit="1" customWidth="1"/>
    <col min="10" max="10" width="12.140625" bestFit="1" customWidth="1"/>
    <col min="11" max="11" width="51" bestFit="1" customWidth="1"/>
    <col min="13" max="13" width="17.85546875" bestFit="1" customWidth="1"/>
    <col min="14" max="14" width="10.28515625" bestFit="1" customWidth="1"/>
    <col min="15" max="15" width="15.5703125" bestFit="1" customWidth="1"/>
  </cols>
  <sheetData>
    <row r="1" spans="1:15" x14ac:dyDescent="0.25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725</v>
      </c>
      <c r="M1" t="s">
        <v>955</v>
      </c>
      <c r="N1" t="s">
        <v>1</v>
      </c>
      <c r="O1" t="s">
        <v>949</v>
      </c>
    </row>
    <row r="2" spans="1:15" hidden="1" x14ac:dyDescent="0.25">
      <c r="A2">
        <v>35820448004557</v>
      </c>
      <c r="B2" t="s">
        <v>15</v>
      </c>
      <c r="C2">
        <v>2</v>
      </c>
      <c r="E2">
        <v>2014200</v>
      </c>
      <c r="F2" t="s">
        <v>16</v>
      </c>
      <c r="G2" t="s">
        <v>15</v>
      </c>
      <c r="H2">
        <v>35970000</v>
      </c>
      <c r="I2" t="s">
        <v>17</v>
      </c>
      <c r="J2">
        <v>4107</v>
      </c>
      <c r="K2" t="s">
        <v>954</v>
      </c>
      <c r="L2" t="str" cm="1">
        <f t="array" ref="L2">IF(SUMPRODUCT(COUNTIF(empresas_filtradas[[#This Row],[cnpj]:[email]],"*"&amp;#REF!&amp;"*"))&gt;0,"sim","não")</f>
        <v>não</v>
      </c>
      <c r="M2" t="s">
        <v>728</v>
      </c>
      <c r="N2" t="str">
        <f>_xlfn.XLOOKUP(empresas_filtradas[[#This Row],[cnpj]], empresas_identificadas_compleme!A:A, empresas_identificadas_compleme!B:B)</f>
        <v>produz_h2</v>
      </c>
      <c r="O2" t="str">
        <f>_xlfn.XLOOKUP(empresas_filtradas[[#This Row],[cnpj]], empresas_identificadas_compleme!A:A, empresas_identificadas_compleme!C:C)</f>
        <v>CTF_APP e 80km</v>
      </c>
    </row>
    <row r="3" spans="1:15" x14ac:dyDescent="0.25">
      <c r="A3">
        <v>60619202001896</v>
      </c>
      <c r="B3" t="s">
        <v>15</v>
      </c>
      <c r="C3">
        <v>3</v>
      </c>
      <c r="E3">
        <v>2014200</v>
      </c>
      <c r="F3" t="s">
        <v>18</v>
      </c>
      <c r="G3" t="s">
        <v>15</v>
      </c>
      <c r="H3">
        <v>57080010</v>
      </c>
      <c r="I3" t="s">
        <v>19</v>
      </c>
      <c r="J3">
        <v>2785</v>
      </c>
      <c r="K3" t="s">
        <v>20</v>
      </c>
      <c r="L3" t="str" cm="1">
        <f t="array" ref="L3">IF(SUMPRODUCT(COUNTIF(empresas_filtradas[[#This Row],[cnpj]:[email]],"*"&amp;#REF!&amp;"*"))&gt;0,"sim","não")</f>
        <v>não</v>
      </c>
      <c r="M3" t="s">
        <v>950</v>
      </c>
      <c r="N3" t="str">
        <f>_xlfn.XLOOKUP(empresas_filtradas[[#This Row],[cnpj]], empresas_identificadas_compleme!A:A, empresas_identificadas_compleme!B:B)</f>
        <v>talvez</v>
      </c>
      <c r="O3" t="str">
        <f>_xlfn.XLOOKUP(empresas_filtradas[[#This Row],[cnpj]], empresas_identificadas_compleme!A:A, empresas_identificadas_compleme!C:C)</f>
        <v>80km</v>
      </c>
    </row>
    <row r="4" spans="1:15" hidden="1" x14ac:dyDescent="0.25">
      <c r="A4">
        <v>60619202000490</v>
      </c>
      <c r="B4" t="s">
        <v>21</v>
      </c>
      <c r="C4">
        <v>2</v>
      </c>
      <c r="E4">
        <v>2014200</v>
      </c>
      <c r="F4" t="s">
        <v>22</v>
      </c>
      <c r="G4" t="s">
        <v>15</v>
      </c>
      <c r="H4">
        <v>78098370</v>
      </c>
      <c r="I4" t="s">
        <v>23</v>
      </c>
      <c r="J4">
        <v>9067</v>
      </c>
      <c r="K4" t="s">
        <v>24</v>
      </c>
      <c r="L4" t="str" cm="1">
        <f t="array" ref="L4">IF(SUMPRODUCT(COUNTIF(empresas_filtradas[[#This Row],[cnpj]:[email]],"*"&amp;#REF!&amp;"*"))&gt;0,"sim","não")</f>
        <v>não</v>
      </c>
      <c r="M4" t="s">
        <v>727</v>
      </c>
      <c r="N4" t="str">
        <f>_xlfn.XLOOKUP(empresas_filtradas[[#This Row],[cnpj]], empresas_identificadas_compleme!A:A, empresas_identificadas_compleme!B:B)</f>
        <v>talvez</v>
      </c>
      <c r="O4" t="str">
        <f>_xlfn.XLOOKUP(empresas_filtradas[[#This Row],[cnpj]], empresas_identificadas_compleme!A:A, empresas_identificadas_compleme!C:C)</f>
        <v>CTF_APP</v>
      </c>
    </row>
    <row r="5" spans="1:15" hidden="1" x14ac:dyDescent="0.25">
      <c r="A5">
        <v>331788004530</v>
      </c>
      <c r="B5" t="s">
        <v>15</v>
      </c>
      <c r="C5">
        <v>2</v>
      </c>
      <c r="E5">
        <v>2014200</v>
      </c>
      <c r="F5" t="s">
        <v>25</v>
      </c>
      <c r="G5" t="s">
        <v>26</v>
      </c>
      <c r="H5">
        <v>23570000</v>
      </c>
      <c r="I5" t="s">
        <v>27</v>
      </c>
      <c r="J5">
        <v>6001</v>
      </c>
      <c r="K5" t="s">
        <v>28</v>
      </c>
      <c r="L5" t="str" cm="1">
        <f t="array" ref="L5">IF(SUMPRODUCT(COUNTIF(empresas_filtradas[[#This Row],[cnpj]:[email]],"*"&amp;#REF!&amp;"*"))&gt;0,"sim","não")</f>
        <v>não</v>
      </c>
      <c r="M5" t="s">
        <v>728</v>
      </c>
      <c r="N5" t="str">
        <f>_xlfn.XLOOKUP(empresas_filtradas[[#This Row],[cnpj]], empresas_identificadas_compleme!A:A, empresas_identificadas_compleme!B:B)</f>
        <v>talvez</v>
      </c>
      <c r="O5" t="str">
        <f>_xlfn.XLOOKUP(empresas_filtradas[[#This Row],[cnpj]], empresas_identificadas_compleme!A:A, empresas_identificadas_compleme!C:C)</f>
        <v>80km</v>
      </c>
    </row>
    <row r="6" spans="1:15" x14ac:dyDescent="0.25">
      <c r="A6" s="1">
        <v>8892204000196</v>
      </c>
      <c r="B6" t="s">
        <v>15</v>
      </c>
      <c r="C6">
        <v>2</v>
      </c>
      <c r="E6">
        <v>2014200</v>
      </c>
      <c r="F6" t="s">
        <v>29</v>
      </c>
      <c r="G6" t="s">
        <v>15</v>
      </c>
      <c r="H6">
        <v>20921392</v>
      </c>
      <c r="I6" t="s">
        <v>27</v>
      </c>
      <c r="J6">
        <v>6001</v>
      </c>
      <c r="K6" t="s">
        <v>30</v>
      </c>
      <c r="L6" t="str" cm="1">
        <f t="array" ref="L6">IF(SUMPRODUCT(COUNTIF(empresas_filtradas[[#This Row],[cnpj]:[email]],"*"&amp;#REF!&amp;"*"))&gt;0,"sim","não")</f>
        <v>não</v>
      </c>
      <c r="M6" t="s">
        <v>950</v>
      </c>
      <c r="N6" t="str">
        <f>_xlfn.XLOOKUP(empresas_filtradas[[#This Row],[cnpj]], empresas_identificadas_compleme!A:A, empresas_identificadas_compleme!B:B)</f>
        <v>talvez</v>
      </c>
      <c r="O6" t="str">
        <f>_xlfn.XLOOKUP(empresas_filtradas[[#This Row],[cnpj]], empresas_identificadas_compleme!A:A, empresas_identificadas_compleme!C:C)</f>
        <v>80km</v>
      </c>
    </row>
    <row r="7" spans="1:15" hidden="1" x14ac:dyDescent="0.25">
      <c r="A7" s="1">
        <v>35820448019317</v>
      </c>
      <c r="B7" t="s">
        <v>15</v>
      </c>
      <c r="C7">
        <v>2</v>
      </c>
      <c r="E7">
        <v>2014200</v>
      </c>
      <c r="F7" t="s">
        <v>31</v>
      </c>
      <c r="G7" t="s">
        <v>15</v>
      </c>
      <c r="H7">
        <v>13505645</v>
      </c>
      <c r="I7" t="s">
        <v>32</v>
      </c>
      <c r="J7">
        <v>6979</v>
      </c>
      <c r="K7" t="s">
        <v>33</v>
      </c>
      <c r="L7" t="str" cm="1">
        <f t="array" ref="L7">IF(SUMPRODUCT(COUNTIF(empresas_filtradas[[#This Row],[cnpj]:[email]],"*"&amp;#REF!&amp;"*"))&gt;0,"sim","não")</f>
        <v>não</v>
      </c>
      <c r="M7" t="s">
        <v>728</v>
      </c>
      <c r="N7" t="str">
        <f>_xlfn.XLOOKUP(empresas_filtradas[[#This Row],[cnpj]], empresas_identificadas_compleme!A:A, empresas_identificadas_compleme!B:B)</f>
        <v>talvez</v>
      </c>
      <c r="O7" t="str">
        <f>_xlfn.XLOOKUP(empresas_filtradas[[#This Row],[cnpj]], empresas_identificadas_compleme!A:A, empresas_identificadas_compleme!C:C)</f>
        <v>CTF_APP e 80km</v>
      </c>
    </row>
    <row r="8" spans="1:15" x14ac:dyDescent="0.25">
      <c r="A8">
        <v>10911087000102</v>
      </c>
      <c r="B8" t="s">
        <v>15</v>
      </c>
      <c r="C8">
        <v>2</v>
      </c>
      <c r="E8">
        <v>2014200</v>
      </c>
      <c r="F8" t="s">
        <v>34</v>
      </c>
      <c r="G8" t="s">
        <v>15</v>
      </c>
      <c r="H8">
        <v>13183660</v>
      </c>
      <c r="I8" t="s">
        <v>32</v>
      </c>
      <c r="J8">
        <v>2951</v>
      </c>
      <c r="K8" t="s">
        <v>35</v>
      </c>
      <c r="L8" t="str" cm="1">
        <f t="array" ref="L8">IF(SUMPRODUCT(COUNTIF(empresas_filtradas[[#This Row],[cnpj]:[email]],"*"&amp;#REF!&amp;"*"))&gt;0,"sim","não")</f>
        <v>não</v>
      </c>
      <c r="M8" t="s">
        <v>950</v>
      </c>
      <c r="N8" t="str">
        <f>_xlfn.XLOOKUP(empresas_filtradas[[#This Row],[cnpj]], empresas_identificadas_compleme!A:A, empresas_identificadas_compleme!B:B)</f>
        <v>incerto</v>
      </c>
      <c r="O8" t="str">
        <f>_xlfn.XLOOKUP(empresas_filtradas[[#This Row],[cnpj]], empresas_identificadas_compleme!A:A, empresas_identificadas_compleme!C:C)</f>
        <v>80km</v>
      </c>
    </row>
    <row r="9" spans="1:15" hidden="1" x14ac:dyDescent="0.25">
      <c r="A9">
        <v>43843358003023</v>
      </c>
      <c r="B9" t="s">
        <v>15</v>
      </c>
      <c r="C9">
        <v>2</v>
      </c>
      <c r="E9">
        <v>2014200</v>
      </c>
      <c r="F9" t="s">
        <v>16</v>
      </c>
      <c r="G9" t="s">
        <v>36</v>
      </c>
      <c r="H9">
        <v>18278725</v>
      </c>
      <c r="I9" t="s">
        <v>32</v>
      </c>
      <c r="J9">
        <v>7181</v>
      </c>
      <c r="K9" t="s">
        <v>37</v>
      </c>
      <c r="L9" t="str" cm="1">
        <f t="array" ref="L9">IF(SUMPRODUCT(COUNTIF(empresas_filtradas[[#This Row],[cnpj]:[email]],"*"&amp;#REF!&amp;"*"))&gt;0,"sim","não")</f>
        <v>não</v>
      </c>
      <c r="M9" t="s">
        <v>727</v>
      </c>
      <c r="N9" t="str">
        <f>_xlfn.XLOOKUP(empresas_filtradas[[#This Row],[cnpj]], empresas_identificadas_compleme!A:A, empresas_identificadas_compleme!B:B)</f>
        <v>talvez</v>
      </c>
      <c r="O9" t="str">
        <f>_xlfn.XLOOKUP(empresas_filtradas[[#This Row],[cnpj]], empresas_identificadas_compleme!A:A, empresas_identificadas_compleme!C:C)</f>
        <v>CTF_APP</v>
      </c>
    </row>
    <row r="10" spans="1:15" hidden="1" x14ac:dyDescent="0.25">
      <c r="A10">
        <v>331788005773</v>
      </c>
      <c r="B10" t="s">
        <v>38</v>
      </c>
      <c r="C10">
        <v>2</v>
      </c>
      <c r="E10">
        <v>2014200</v>
      </c>
      <c r="F10" t="s">
        <v>39</v>
      </c>
      <c r="G10" t="s">
        <v>15</v>
      </c>
      <c r="H10">
        <v>71225526</v>
      </c>
      <c r="I10" t="s">
        <v>40</v>
      </c>
      <c r="J10">
        <v>9701</v>
      </c>
      <c r="K10" t="s">
        <v>28</v>
      </c>
      <c r="L10" t="str" cm="1">
        <f t="array" ref="L10">IF(SUMPRODUCT(COUNTIF(empresas_filtradas[[#This Row],[cnpj]:[email]],"*"&amp;#REF!&amp;"*"))&gt;0,"sim","não")</f>
        <v>não</v>
      </c>
      <c r="M10" t="s">
        <v>727</v>
      </c>
      <c r="N10" t="str">
        <f>_xlfn.XLOOKUP(empresas_filtradas[[#This Row],[cnpj]], empresas_identificadas_compleme!A:A, empresas_identificadas_compleme!B:B)</f>
        <v>talvez</v>
      </c>
      <c r="O10" t="str">
        <f>_xlfn.XLOOKUP(empresas_filtradas[[#This Row],[cnpj]], empresas_identificadas_compleme!A:A, empresas_identificadas_compleme!C:C)</f>
        <v>CTF_APP</v>
      </c>
    </row>
    <row r="11" spans="1:15" hidden="1" x14ac:dyDescent="0.25">
      <c r="A11">
        <v>331788006230</v>
      </c>
      <c r="B11" t="s">
        <v>38</v>
      </c>
      <c r="C11">
        <v>2</v>
      </c>
      <c r="E11">
        <v>2014200</v>
      </c>
      <c r="F11" t="s">
        <v>41</v>
      </c>
      <c r="G11" t="s">
        <v>42</v>
      </c>
      <c r="H11">
        <v>17034290</v>
      </c>
      <c r="I11" t="s">
        <v>32</v>
      </c>
      <c r="J11">
        <v>6219</v>
      </c>
      <c r="K11" t="s">
        <v>28</v>
      </c>
      <c r="L11" t="str" cm="1">
        <f t="array" ref="L11">IF(SUMPRODUCT(COUNTIF(empresas_filtradas[[#This Row],[cnpj]:[email]],"*"&amp;#REF!&amp;"*"))&gt;0,"sim","não")</f>
        <v>não</v>
      </c>
      <c r="M11" t="s">
        <v>727</v>
      </c>
      <c r="N11" t="str">
        <f>_xlfn.XLOOKUP(empresas_filtradas[[#This Row],[cnpj]], empresas_identificadas_compleme!A:A, empresas_identificadas_compleme!B:B)</f>
        <v>talvez</v>
      </c>
      <c r="O11" t="str">
        <f>_xlfn.XLOOKUP(empresas_filtradas[[#This Row],[cnpj]], empresas_identificadas_compleme!A:A, empresas_identificadas_compleme!C:C)</f>
        <v>CTF_APP</v>
      </c>
    </row>
    <row r="12" spans="1:15" hidden="1" x14ac:dyDescent="0.25">
      <c r="A12" s="1">
        <v>12201621000112</v>
      </c>
      <c r="B12" t="s">
        <v>43</v>
      </c>
      <c r="C12">
        <v>2</v>
      </c>
      <c r="E12">
        <v>2014200</v>
      </c>
      <c r="F12" t="s">
        <v>44</v>
      </c>
      <c r="G12" t="s">
        <v>15</v>
      </c>
      <c r="H12">
        <v>81650060</v>
      </c>
      <c r="I12" t="s">
        <v>45</v>
      </c>
      <c r="J12">
        <v>7535</v>
      </c>
      <c r="K12" t="s">
        <v>46</v>
      </c>
      <c r="L12" t="str" cm="1">
        <f t="array" ref="L12">IF(SUMPRODUCT(COUNTIF(empresas_filtradas[[#This Row],[cnpj]:[email]],"*"&amp;#REF!&amp;"*"))&gt;0,"sim","não")</f>
        <v>não</v>
      </c>
      <c r="M12" t="s">
        <v>951</v>
      </c>
      <c r="N12" t="str">
        <f>_xlfn.XLOOKUP(empresas_filtradas[[#This Row],[cnpj]], empresas_identificadas_compleme!A:A, empresas_identificadas_compleme!B:B)</f>
        <v>talvez</v>
      </c>
      <c r="O12" t="str">
        <f>_xlfn.XLOOKUP(empresas_filtradas[[#This Row],[cnpj]], empresas_identificadas_compleme!A:A, empresas_identificadas_compleme!C:C)</f>
        <v>80km</v>
      </c>
    </row>
    <row r="13" spans="1:15" x14ac:dyDescent="0.25">
      <c r="A13" s="1">
        <v>22290296000165</v>
      </c>
      <c r="B13" t="s">
        <v>47</v>
      </c>
      <c r="C13">
        <v>2</v>
      </c>
      <c r="E13">
        <v>2014200</v>
      </c>
      <c r="F13" t="s">
        <v>48</v>
      </c>
      <c r="G13" t="s">
        <v>15</v>
      </c>
      <c r="H13">
        <v>29157025</v>
      </c>
      <c r="I13" t="s">
        <v>49</v>
      </c>
      <c r="J13">
        <v>5625</v>
      </c>
      <c r="K13" t="s">
        <v>50</v>
      </c>
      <c r="L13" t="str" cm="1">
        <f t="array" ref="L13">IF(SUMPRODUCT(COUNTIF(empresas_filtradas[[#This Row],[cnpj]:[email]],"*"&amp;#REF!&amp;"*"))&gt;0,"sim","não")</f>
        <v>não</v>
      </c>
      <c r="M13" t="s">
        <v>950</v>
      </c>
      <c r="N13" t="str">
        <f>_xlfn.XLOOKUP(empresas_filtradas[[#This Row],[cnpj]], empresas_identificadas_compleme!A:A, empresas_identificadas_compleme!B:B)</f>
        <v>talvez</v>
      </c>
      <c r="O13" t="str">
        <f>_xlfn.XLOOKUP(empresas_filtradas[[#This Row],[cnpj]], empresas_identificadas_compleme!A:A, empresas_identificadas_compleme!C:C)</f>
        <v>80km</v>
      </c>
    </row>
    <row r="14" spans="1:15" x14ac:dyDescent="0.25">
      <c r="A14">
        <v>24539446000157</v>
      </c>
      <c r="B14" t="s">
        <v>51</v>
      </c>
      <c r="C14">
        <v>2</v>
      </c>
      <c r="D14">
        <v>249</v>
      </c>
      <c r="E14">
        <v>2014200</v>
      </c>
      <c r="F14" t="s">
        <v>16</v>
      </c>
      <c r="G14" t="s">
        <v>52</v>
      </c>
      <c r="I14" t="s">
        <v>53</v>
      </c>
      <c r="J14">
        <v>9707</v>
      </c>
      <c r="K14" t="s">
        <v>54</v>
      </c>
      <c r="L14" t="str" cm="1">
        <f t="array" ref="L14">IF(SUMPRODUCT(COUNTIF(empresas_filtradas[[#This Row],[cnpj]:[email]],"*"&amp;#REF!&amp;"*"))&gt;0,"sim","não")</f>
        <v>não</v>
      </c>
      <c r="M14" t="s">
        <v>950</v>
      </c>
      <c r="N14" t="str">
        <f>_xlfn.XLOOKUP(empresas_filtradas[[#This Row],[cnpj]], empresas_identificadas_compleme!A:A, empresas_identificadas_compleme!B:B)</f>
        <v>talvez</v>
      </c>
      <c r="O14">
        <f>_xlfn.XLOOKUP(empresas_filtradas[[#This Row],[cnpj]], empresas_identificadas_compleme!A:A, empresas_identificadas_compleme!C:C)</f>
        <v>0</v>
      </c>
    </row>
    <row r="15" spans="1:15" x14ac:dyDescent="0.25">
      <c r="A15">
        <v>11501268000123</v>
      </c>
      <c r="B15" t="s">
        <v>15</v>
      </c>
      <c r="C15">
        <v>2</v>
      </c>
      <c r="E15">
        <v>2014200</v>
      </c>
      <c r="F15" t="s">
        <v>55</v>
      </c>
      <c r="G15" t="s">
        <v>15</v>
      </c>
      <c r="H15">
        <v>65911769</v>
      </c>
      <c r="I15" t="s">
        <v>56</v>
      </c>
      <c r="J15">
        <v>803</v>
      </c>
      <c r="K15" t="s">
        <v>57</v>
      </c>
      <c r="L15" t="str" cm="1">
        <f t="array" ref="L15">IF(SUMPRODUCT(COUNTIF(empresas_filtradas[[#This Row],[cnpj]:[email]],"*"&amp;#REF!&amp;"*"))&gt;0,"sim","não")</f>
        <v>não</v>
      </c>
      <c r="M15" t="s">
        <v>950</v>
      </c>
      <c r="N15" t="str">
        <f>_xlfn.XLOOKUP(empresas_filtradas[[#This Row],[cnpj]], empresas_identificadas_compleme!A:A, empresas_identificadas_compleme!B:B)</f>
        <v>incerto</v>
      </c>
      <c r="O15">
        <f>_xlfn.XLOOKUP(empresas_filtradas[[#This Row],[cnpj]], empresas_identificadas_compleme!A:A, empresas_identificadas_compleme!C:C)</f>
        <v>0</v>
      </c>
    </row>
    <row r="16" spans="1:15" hidden="1" x14ac:dyDescent="0.25">
      <c r="A16">
        <v>60619202002272</v>
      </c>
      <c r="B16" t="s">
        <v>21</v>
      </c>
      <c r="C16">
        <v>2</v>
      </c>
      <c r="E16">
        <v>2014200</v>
      </c>
      <c r="F16" t="s">
        <v>58</v>
      </c>
      <c r="G16" t="s">
        <v>59</v>
      </c>
      <c r="H16">
        <v>42816140</v>
      </c>
      <c r="I16" t="s">
        <v>60</v>
      </c>
      <c r="J16">
        <v>3413</v>
      </c>
      <c r="K16" t="s">
        <v>24</v>
      </c>
      <c r="L16" t="str" cm="1">
        <f t="array" ref="L16">IF(SUMPRODUCT(COUNTIF(empresas_filtradas[[#This Row],[cnpj]:[email]],"*"&amp;#REF!&amp;"*"))&gt;0,"sim","não")</f>
        <v>não</v>
      </c>
      <c r="M16" t="s">
        <v>728</v>
      </c>
      <c r="N16" t="str">
        <f>_xlfn.XLOOKUP(empresas_filtradas[[#This Row],[cnpj]], empresas_identificadas_compleme!A:A, empresas_identificadas_compleme!B:B)</f>
        <v>talvez</v>
      </c>
      <c r="O16" t="str">
        <f>_xlfn.XLOOKUP(empresas_filtradas[[#This Row],[cnpj]], empresas_identificadas_compleme!A:A, empresas_identificadas_compleme!C:C)</f>
        <v>CTF_APP e 80km</v>
      </c>
    </row>
    <row r="17" spans="1:15" hidden="1" x14ac:dyDescent="0.25">
      <c r="A17" s="1">
        <v>24380578005903</v>
      </c>
      <c r="B17" t="s">
        <v>15</v>
      </c>
      <c r="C17">
        <v>2</v>
      </c>
      <c r="E17">
        <v>2014200</v>
      </c>
      <c r="F17" t="s">
        <v>16</v>
      </c>
      <c r="G17" t="s">
        <v>61</v>
      </c>
      <c r="H17">
        <v>79602970</v>
      </c>
      <c r="I17" t="s">
        <v>62</v>
      </c>
      <c r="J17">
        <v>9165</v>
      </c>
      <c r="K17" t="s">
        <v>33</v>
      </c>
      <c r="L17" t="str" cm="1">
        <f t="array" ref="L17">IF(SUMPRODUCT(COUNTIF(empresas_filtradas[[#This Row],[cnpj]:[email]],"*"&amp;#REF!&amp;"*"))&gt;0,"sim","não")</f>
        <v>não</v>
      </c>
      <c r="M17" t="s">
        <v>727</v>
      </c>
      <c r="N17" t="str">
        <f>_xlfn.XLOOKUP(empresas_filtradas[[#This Row],[cnpj]], empresas_identificadas_compleme!A:A, empresas_identificadas_compleme!B:B)</f>
        <v>talvez</v>
      </c>
      <c r="O17" t="str">
        <f>_xlfn.XLOOKUP(empresas_filtradas[[#This Row],[cnpj]], empresas_identificadas_compleme!A:A, empresas_identificadas_compleme!C:C)</f>
        <v>CTF_APP</v>
      </c>
    </row>
    <row r="18" spans="1:15" x14ac:dyDescent="0.25">
      <c r="A18">
        <v>26288918000171</v>
      </c>
      <c r="B18" t="s">
        <v>15</v>
      </c>
      <c r="C18">
        <v>2</v>
      </c>
      <c r="E18">
        <v>2014200</v>
      </c>
      <c r="F18" t="s">
        <v>63</v>
      </c>
      <c r="G18" t="s">
        <v>64</v>
      </c>
      <c r="H18">
        <v>89245000</v>
      </c>
      <c r="I18" t="s">
        <v>65</v>
      </c>
      <c r="J18">
        <v>8025</v>
      </c>
      <c r="K18" t="s">
        <v>66</v>
      </c>
      <c r="L18" t="str" cm="1">
        <f t="array" ref="L18">IF(SUMPRODUCT(COUNTIF(empresas_filtradas[[#This Row],[cnpj]:[email]],"*"&amp;#REF!&amp;"*"))&gt;0,"sim","não")</f>
        <v>não</v>
      </c>
      <c r="M18" t="s">
        <v>950</v>
      </c>
      <c r="N18" t="str">
        <f>_xlfn.XLOOKUP(empresas_filtradas[[#This Row],[cnpj]], empresas_identificadas_compleme!A:A, empresas_identificadas_compleme!B:B)</f>
        <v>incerto</v>
      </c>
      <c r="O18">
        <f>_xlfn.XLOOKUP(empresas_filtradas[[#This Row],[cnpj]], empresas_identificadas_compleme!A:A, empresas_identificadas_compleme!C:C)</f>
        <v>0</v>
      </c>
    </row>
    <row r="19" spans="1:15" hidden="1" x14ac:dyDescent="0.25">
      <c r="A19">
        <v>35820448021303</v>
      </c>
      <c r="B19" t="s">
        <v>15</v>
      </c>
      <c r="C19">
        <v>2</v>
      </c>
      <c r="E19">
        <v>2014200</v>
      </c>
      <c r="F19" t="s">
        <v>67</v>
      </c>
      <c r="G19" t="s">
        <v>15</v>
      </c>
      <c r="H19">
        <v>13288172</v>
      </c>
      <c r="I19" t="s">
        <v>32</v>
      </c>
      <c r="J19">
        <v>7237</v>
      </c>
      <c r="K19" t="s">
        <v>33</v>
      </c>
      <c r="L19" t="str" cm="1">
        <f t="array" ref="L19">IF(SUMPRODUCT(COUNTIF(empresas_filtradas[[#This Row],[cnpj]:[email]],"*"&amp;#REF!&amp;"*"))&gt;0,"sim","não")</f>
        <v>não</v>
      </c>
      <c r="M19" t="s">
        <v>728</v>
      </c>
      <c r="N19" t="str">
        <f>_xlfn.XLOOKUP(empresas_filtradas[[#This Row],[cnpj]], empresas_identificadas_compleme!A:A, empresas_identificadas_compleme!B:B)</f>
        <v>talvez</v>
      </c>
      <c r="O19" t="str">
        <f>_xlfn.XLOOKUP(empresas_filtradas[[#This Row],[cnpj]], empresas_identificadas_compleme!A:A, empresas_identificadas_compleme!C:C)</f>
        <v>CTF_APP e 80km</v>
      </c>
    </row>
    <row r="20" spans="1:15" hidden="1" x14ac:dyDescent="0.25">
      <c r="A20" s="1">
        <v>35820448022024</v>
      </c>
      <c r="B20" t="s">
        <v>15</v>
      </c>
      <c r="C20">
        <v>2</v>
      </c>
      <c r="E20">
        <v>2014200</v>
      </c>
      <c r="F20" t="s">
        <v>16</v>
      </c>
      <c r="G20" t="s">
        <v>68</v>
      </c>
      <c r="H20">
        <v>38490000</v>
      </c>
      <c r="I20" t="s">
        <v>17</v>
      </c>
      <c r="J20">
        <v>4613</v>
      </c>
      <c r="K20" t="s">
        <v>33</v>
      </c>
      <c r="L20" t="str" cm="1">
        <f t="array" ref="L20">IF(SUMPRODUCT(COUNTIF(empresas_filtradas[[#This Row],[cnpj]:[email]],"*"&amp;#REF!&amp;"*"))&gt;0,"sim","não")</f>
        <v>não</v>
      </c>
      <c r="M20" t="s">
        <v>728</v>
      </c>
      <c r="N20" t="str">
        <f>_xlfn.XLOOKUP(empresas_filtradas[[#This Row],[cnpj]], empresas_identificadas_compleme!A:A, empresas_identificadas_compleme!B:B)</f>
        <v>talvez</v>
      </c>
      <c r="O20" t="str">
        <f>_xlfn.XLOOKUP(empresas_filtradas[[#This Row],[cnpj]], empresas_identificadas_compleme!A:A, empresas_identificadas_compleme!C:C)</f>
        <v>CTF_APP e 80km</v>
      </c>
    </row>
    <row r="21" spans="1:15" x14ac:dyDescent="0.25">
      <c r="A21">
        <v>42315528000108</v>
      </c>
      <c r="B21" t="s">
        <v>69</v>
      </c>
      <c r="C21">
        <v>2</v>
      </c>
      <c r="E21">
        <v>2014200</v>
      </c>
      <c r="F21" t="s">
        <v>16</v>
      </c>
      <c r="G21" t="s">
        <v>70</v>
      </c>
      <c r="H21">
        <v>59147325</v>
      </c>
      <c r="I21" t="s">
        <v>71</v>
      </c>
      <c r="J21">
        <v>1779</v>
      </c>
      <c r="K21" t="s">
        <v>72</v>
      </c>
      <c r="L21" t="str" cm="1">
        <f t="array" ref="L21">IF(SUMPRODUCT(COUNTIF(empresas_filtradas[[#This Row],[cnpj]:[email]],"*"&amp;#REF!&amp;"*"))&gt;0,"sim","não")</f>
        <v>não</v>
      </c>
      <c r="M21" t="s">
        <v>950</v>
      </c>
      <c r="N21" t="str">
        <f>_xlfn.XLOOKUP(empresas_filtradas[[#This Row],[cnpj]], empresas_identificadas_compleme!A:A, empresas_identificadas_compleme!B:B)</f>
        <v>talvez</v>
      </c>
      <c r="O21">
        <f>_xlfn.XLOOKUP(empresas_filtradas[[#This Row],[cnpj]], empresas_identificadas_compleme!A:A, empresas_identificadas_compleme!C:C)</f>
        <v>0</v>
      </c>
    </row>
    <row r="22" spans="1:15" x14ac:dyDescent="0.25">
      <c r="A22">
        <v>45829243000175</v>
      </c>
      <c r="B22" t="s">
        <v>73</v>
      </c>
      <c r="C22">
        <v>2</v>
      </c>
      <c r="E22">
        <v>2014200</v>
      </c>
      <c r="F22" t="s">
        <v>74</v>
      </c>
      <c r="G22" t="s">
        <v>75</v>
      </c>
      <c r="H22">
        <v>36052590</v>
      </c>
      <c r="I22" t="s">
        <v>17</v>
      </c>
      <c r="J22">
        <v>4733</v>
      </c>
      <c r="K22" t="s">
        <v>76</v>
      </c>
      <c r="L22" t="str" cm="1">
        <f t="array" ref="L22">IF(SUMPRODUCT(COUNTIF(empresas_filtradas[[#This Row],[cnpj]:[email]],"*"&amp;#REF!&amp;"*"))&gt;0,"sim","não")</f>
        <v>não</v>
      </c>
      <c r="M22" t="s">
        <v>950</v>
      </c>
      <c r="N22" t="str">
        <f>_xlfn.XLOOKUP(empresas_filtradas[[#This Row],[cnpj]], empresas_identificadas_compleme!A:A, empresas_identificadas_compleme!B:B)</f>
        <v>talvez</v>
      </c>
      <c r="O22">
        <f>_xlfn.XLOOKUP(empresas_filtradas[[#This Row],[cnpj]], empresas_identificadas_compleme!A:A, empresas_identificadas_compleme!C:C)</f>
        <v>0</v>
      </c>
    </row>
    <row r="23" spans="1:15" x14ac:dyDescent="0.25">
      <c r="A23">
        <v>63634596000444</v>
      </c>
      <c r="B23" t="s">
        <v>15</v>
      </c>
      <c r="C23">
        <v>2</v>
      </c>
      <c r="E23">
        <v>2014200</v>
      </c>
      <c r="F23" t="s">
        <v>16</v>
      </c>
      <c r="G23" t="s">
        <v>77</v>
      </c>
      <c r="H23">
        <v>68632000</v>
      </c>
      <c r="I23" t="s">
        <v>78</v>
      </c>
      <c r="J23">
        <v>623</v>
      </c>
      <c r="K23" t="s">
        <v>79</v>
      </c>
      <c r="L23" t="str" cm="1">
        <f t="array" ref="L23">IF(SUMPRODUCT(COUNTIF(empresas_filtradas[[#This Row],[cnpj]:[email]],"*"&amp;#REF!&amp;"*"))&gt;0,"sim","não")</f>
        <v>não</v>
      </c>
      <c r="M23" t="s">
        <v>950</v>
      </c>
      <c r="N23" t="str">
        <f>_xlfn.XLOOKUP(empresas_filtradas[[#This Row],[cnpj]], empresas_identificadas_compleme!A:A, empresas_identificadas_compleme!B:B)</f>
        <v>incerto</v>
      </c>
      <c r="O23" t="str">
        <f>_xlfn.XLOOKUP(empresas_filtradas[[#This Row],[cnpj]], empresas_identificadas_compleme!A:A, empresas_identificadas_compleme!C:C)</f>
        <v>CTF_APP</v>
      </c>
    </row>
    <row r="24" spans="1:15" x14ac:dyDescent="0.25">
      <c r="A24">
        <v>52238156000109</v>
      </c>
      <c r="B24" t="s">
        <v>15</v>
      </c>
      <c r="C24">
        <v>2</v>
      </c>
      <c r="E24">
        <v>2014200</v>
      </c>
      <c r="F24" t="s">
        <v>80</v>
      </c>
      <c r="G24" t="s">
        <v>15</v>
      </c>
      <c r="H24">
        <v>27197000</v>
      </c>
      <c r="I24" t="s">
        <v>27</v>
      </c>
      <c r="J24">
        <v>778</v>
      </c>
      <c r="K24" t="s">
        <v>81</v>
      </c>
      <c r="L24" t="str" cm="1">
        <f t="array" ref="L24">IF(SUMPRODUCT(COUNTIF(empresas_filtradas[[#This Row],[cnpj]:[email]],"*"&amp;#REF!&amp;"*"))&gt;0,"sim","não")</f>
        <v>não</v>
      </c>
      <c r="M24" t="s">
        <v>950</v>
      </c>
      <c r="N24" t="str">
        <f>_xlfn.XLOOKUP(empresas_filtradas[[#This Row],[cnpj]], empresas_identificadas_compleme!A:A, empresas_identificadas_compleme!B:B)</f>
        <v>incerto</v>
      </c>
      <c r="O24" t="str">
        <f>_xlfn.XLOOKUP(empresas_filtradas[[#This Row],[cnpj]], empresas_identificadas_compleme!A:A, empresas_identificadas_compleme!C:C)</f>
        <v>80km</v>
      </c>
    </row>
    <row r="25" spans="1:15" hidden="1" x14ac:dyDescent="0.25">
      <c r="A25">
        <v>52315566000106</v>
      </c>
      <c r="B25" t="s">
        <v>15</v>
      </c>
      <c r="C25">
        <v>2</v>
      </c>
      <c r="E25">
        <v>2014200</v>
      </c>
      <c r="F25" t="s">
        <v>82</v>
      </c>
      <c r="G25" t="s">
        <v>83</v>
      </c>
      <c r="H25">
        <v>30170008</v>
      </c>
      <c r="I25" t="s">
        <v>17</v>
      </c>
      <c r="J25">
        <v>4123</v>
      </c>
      <c r="K25" t="s">
        <v>84</v>
      </c>
      <c r="L25" t="str" cm="1">
        <f t="array" ref="L25">IF(SUMPRODUCT(COUNTIF(empresas_filtradas[[#This Row],[cnpj]:[email]],"*"&amp;#REF!&amp;"*"))&gt;0,"sim","não")</f>
        <v>não</v>
      </c>
      <c r="M25" t="s">
        <v>952</v>
      </c>
      <c r="N25" t="str">
        <f>_xlfn.XLOOKUP(empresas_filtradas[[#This Row],[cnpj]], empresas_identificadas_compleme!A:A, empresas_identificadas_compleme!B:B)</f>
        <v>talvez</v>
      </c>
      <c r="O25" t="str">
        <f>_xlfn.XLOOKUP(empresas_filtradas[[#This Row],[cnpj]], empresas_identificadas_compleme!A:A, empresas_identificadas_compleme!C:C)</f>
        <v>80km</v>
      </c>
    </row>
    <row r="26" spans="1:15" hidden="1" x14ac:dyDescent="0.25">
      <c r="A26">
        <v>54443328000101</v>
      </c>
      <c r="B26" t="s">
        <v>85</v>
      </c>
      <c r="C26">
        <v>2</v>
      </c>
      <c r="D26">
        <v>105</v>
      </c>
      <c r="E26">
        <v>2014200</v>
      </c>
      <c r="F26" t="s">
        <v>16</v>
      </c>
      <c r="G26" t="s">
        <v>86</v>
      </c>
      <c r="H26">
        <v>64200970</v>
      </c>
      <c r="I26" t="s">
        <v>87</v>
      </c>
      <c r="J26">
        <v>1153</v>
      </c>
      <c r="K26" t="s">
        <v>88</v>
      </c>
      <c r="L26" t="str" cm="1">
        <f t="array" ref="L26">IF(SUMPRODUCT(COUNTIF(empresas_filtradas[[#This Row],[cnpj]:[email]],"*"&amp;#REF!&amp;"*"))&gt;0,"sim","não")</f>
        <v>não</v>
      </c>
      <c r="M26" t="s">
        <v>952</v>
      </c>
      <c r="N26" t="str">
        <f>_xlfn.XLOOKUP(empresas_filtradas[[#This Row],[cnpj]], empresas_identificadas_compleme!A:A, empresas_identificadas_compleme!B:B)</f>
        <v>talvez</v>
      </c>
      <c r="O26">
        <f>_xlfn.XLOOKUP(empresas_filtradas[[#This Row],[cnpj]], empresas_identificadas_compleme!A:A, empresas_identificadas_compleme!C:C)</f>
        <v>0</v>
      </c>
    </row>
    <row r="27" spans="1:15" x14ac:dyDescent="0.25">
      <c r="A27">
        <v>55482177000163</v>
      </c>
      <c r="B27" t="s">
        <v>89</v>
      </c>
      <c r="C27">
        <v>2</v>
      </c>
      <c r="E27">
        <v>2014200</v>
      </c>
      <c r="F27" t="s">
        <v>90</v>
      </c>
      <c r="G27" t="s">
        <v>91</v>
      </c>
      <c r="H27">
        <v>55660000</v>
      </c>
      <c r="I27" t="s">
        <v>92</v>
      </c>
      <c r="J27">
        <v>2337</v>
      </c>
      <c r="K27" t="s">
        <v>93</v>
      </c>
      <c r="L27" t="str" cm="1">
        <f t="array" ref="L27">IF(SUMPRODUCT(COUNTIF(empresas_filtradas[[#This Row],[cnpj]:[email]],"*"&amp;#REF!&amp;"*"))&gt;0,"sim","não")</f>
        <v>não</v>
      </c>
      <c r="M27" t="s">
        <v>950</v>
      </c>
      <c r="N27" t="e">
        <f>_xlfn.XLOOKUP(empresas_filtradas[[#This Row],[cnpj]], empresas_identificadas_compleme!A:A, empresas_identificadas_compleme!B:B)</f>
        <v>#N/A</v>
      </c>
      <c r="O27" t="e">
        <f>_xlfn.XLOOKUP(empresas_filtradas[[#This Row],[cnpj]], empresas_identificadas_compleme!A:A, empresas_identificadas_compleme!C:C)</f>
        <v>#N/A</v>
      </c>
    </row>
    <row r="28" spans="1:15" x14ac:dyDescent="0.25">
      <c r="A28">
        <v>57155559000108</v>
      </c>
      <c r="B28" t="s">
        <v>94</v>
      </c>
      <c r="C28">
        <v>2</v>
      </c>
      <c r="D28">
        <v>105</v>
      </c>
      <c r="E28">
        <v>2014200</v>
      </c>
      <c r="F28" t="s">
        <v>95</v>
      </c>
      <c r="G28" t="s">
        <v>15</v>
      </c>
      <c r="H28">
        <v>58069263</v>
      </c>
      <c r="I28" t="s">
        <v>96</v>
      </c>
      <c r="J28">
        <v>2051</v>
      </c>
      <c r="K28" t="s">
        <v>97</v>
      </c>
      <c r="L28" t="str" cm="1">
        <f t="array" ref="L28">IF(SUMPRODUCT(COUNTIF(empresas_filtradas[[#This Row],[cnpj]:[email]],"*"&amp;#REF!&amp;"*"))&gt;0,"sim","não")</f>
        <v>não</v>
      </c>
      <c r="M28" t="s">
        <v>950</v>
      </c>
      <c r="N28" t="str">
        <f>_xlfn.XLOOKUP(empresas_filtradas[[#This Row],[cnpj]], empresas_identificadas_compleme!A:A, empresas_identificadas_compleme!B:B)</f>
        <v>incerto</v>
      </c>
      <c r="O28">
        <f>_xlfn.XLOOKUP(empresas_filtradas[[#This Row],[cnpj]], empresas_identificadas_compleme!A:A, empresas_identificadas_compleme!C:C)</f>
        <v>0</v>
      </c>
    </row>
    <row r="29" spans="1:15" x14ac:dyDescent="0.25">
      <c r="A29">
        <v>45517186000199</v>
      </c>
      <c r="B29" t="s">
        <v>98</v>
      </c>
      <c r="C29">
        <v>2</v>
      </c>
      <c r="E29">
        <v>2014200</v>
      </c>
      <c r="F29" t="s">
        <v>99</v>
      </c>
      <c r="G29" t="s">
        <v>100</v>
      </c>
      <c r="H29">
        <v>18105008</v>
      </c>
      <c r="I29" t="s">
        <v>32</v>
      </c>
      <c r="J29">
        <v>7145</v>
      </c>
      <c r="K29" t="s">
        <v>101</v>
      </c>
      <c r="L29" t="str" cm="1">
        <f t="array" ref="L29">IF(SUMPRODUCT(COUNTIF(empresas_filtradas[[#This Row],[cnpj]:[email]],"*"&amp;#REF!&amp;"*"))&gt;0,"sim","não")</f>
        <v>não</v>
      </c>
      <c r="M29" t="s">
        <v>950</v>
      </c>
      <c r="N29" t="e">
        <f>_xlfn.XLOOKUP(empresas_filtradas[[#This Row],[cnpj]], empresas_identificadas_compleme!A:A, empresas_identificadas_compleme!B:B)</f>
        <v>#N/A</v>
      </c>
      <c r="O29" t="e">
        <f>_xlfn.XLOOKUP(empresas_filtradas[[#This Row],[cnpj]], empresas_identificadas_compleme!A:A, empresas_identificadas_compleme!C:C)</f>
        <v>#N/A</v>
      </c>
    </row>
    <row r="30" spans="1:15" hidden="1" x14ac:dyDescent="0.25">
      <c r="A30">
        <v>331788010939</v>
      </c>
      <c r="B30" t="s">
        <v>15</v>
      </c>
      <c r="C30">
        <v>2</v>
      </c>
      <c r="E30">
        <v>2014200</v>
      </c>
      <c r="F30" t="s">
        <v>16</v>
      </c>
      <c r="G30" t="s">
        <v>102</v>
      </c>
      <c r="H30">
        <v>42813760</v>
      </c>
      <c r="I30" t="s">
        <v>60</v>
      </c>
      <c r="J30">
        <v>3413</v>
      </c>
      <c r="K30" t="s">
        <v>28</v>
      </c>
      <c r="L30" t="str" cm="1">
        <f t="array" ref="L30">IF(SUMPRODUCT(COUNTIF(empresas_filtradas[[#This Row],[cnpj]:[email]],"*"&amp;#REF!&amp;"*"))&gt;0,"sim","não")</f>
        <v>não</v>
      </c>
      <c r="M30" t="s">
        <v>727</v>
      </c>
      <c r="N30" t="str">
        <f>_xlfn.XLOOKUP(empresas_filtradas[[#This Row],[cnpj]], empresas_identificadas_compleme!A:A, empresas_identificadas_compleme!B:B)</f>
        <v>talvez</v>
      </c>
      <c r="O30" t="str">
        <f>_xlfn.XLOOKUP(empresas_filtradas[[#This Row],[cnpj]], empresas_identificadas_compleme!A:A, empresas_identificadas_compleme!C:C)</f>
        <v>80km</v>
      </c>
    </row>
    <row r="31" spans="1:15" x14ac:dyDescent="0.25">
      <c r="A31">
        <v>61598154000111</v>
      </c>
      <c r="B31" t="s">
        <v>103</v>
      </c>
      <c r="C31">
        <v>2</v>
      </c>
      <c r="D31">
        <v>105</v>
      </c>
      <c r="E31">
        <v>2014200</v>
      </c>
      <c r="F31" t="s">
        <v>104</v>
      </c>
      <c r="G31" t="s">
        <v>15</v>
      </c>
      <c r="H31">
        <v>58410430</v>
      </c>
      <c r="I31" t="s">
        <v>96</v>
      </c>
      <c r="J31">
        <v>1981</v>
      </c>
      <c r="K31" t="s">
        <v>105</v>
      </c>
      <c r="L31" t="str" cm="1">
        <f t="array" ref="L31">IF(SUMPRODUCT(COUNTIF(empresas_filtradas[[#This Row],[cnpj]:[email]],"*"&amp;#REF!&amp;"*"))&gt;0,"sim","não")</f>
        <v>não</v>
      </c>
      <c r="M31" t="s">
        <v>950</v>
      </c>
      <c r="N31" t="e">
        <f>_xlfn.XLOOKUP(empresas_filtradas[[#This Row],[cnpj]], empresas_identificadas_compleme!A:A, empresas_identificadas_compleme!B:B)</f>
        <v>#N/A</v>
      </c>
      <c r="O31" t="e">
        <f>_xlfn.XLOOKUP(empresas_filtradas[[#This Row],[cnpj]], empresas_identificadas_compleme!A:A, empresas_identificadas_compleme!C:C)</f>
        <v>#N/A</v>
      </c>
    </row>
    <row r="32" spans="1:15" hidden="1" x14ac:dyDescent="0.25">
      <c r="A32" s="1">
        <v>55482177000325</v>
      </c>
      <c r="B32" t="s">
        <v>89</v>
      </c>
      <c r="C32">
        <v>2</v>
      </c>
      <c r="E32">
        <v>2014200</v>
      </c>
      <c r="F32" t="s">
        <v>106</v>
      </c>
      <c r="G32" t="s">
        <v>107</v>
      </c>
      <c r="H32">
        <v>60875010</v>
      </c>
      <c r="I32" t="s">
        <v>108</v>
      </c>
      <c r="J32">
        <v>1389</v>
      </c>
      <c r="K32" t="s">
        <v>93</v>
      </c>
      <c r="L32" t="str" cm="1">
        <f t="array" ref="L32">IF(SUMPRODUCT(COUNTIF(empresas_filtradas[[#This Row],[cnpj]:[email]],"*"&amp;#REF!&amp;"*"))&gt;0,"sim","não")</f>
        <v>não</v>
      </c>
      <c r="M32" t="s">
        <v>951</v>
      </c>
      <c r="N32" t="str">
        <f>_xlfn.XLOOKUP(empresas_filtradas[[#This Row],[cnpj]], empresas_identificadas_compleme!A:A, empresas_identificadas_compleme!B:B)</f>
        <v>talvez</v>
      </c>
      <c r="O32" t="str">
        <f>_xlfn.XLOOKUP(empresas_filtradas[[#This Row],[cnpj]], empresas_identificadas_compleme!A:A, empresas_identificadas_compleme!C:C)</f>
        <v>80km</v>
      </c>
    </row>
    <row r="33" spans="1:15" hidden="1" x14ac:dyDescent="0.25">
      <c r="A33">
        <v>331788000623</v>
      </c>
      <c r="B33" t="s">
        <v>15</v>
      </c>
      <c r="C33">
        <v>2</v>
      </c>
      <c r="E33">
        <v>2014200</v>
      </c>
      <c r="F33" t="s">
        <v>109</v>
      </c>
      <c r="G33" t="s">
        <v>15</v>
      </c>
      <c r="H33">
        <v>26110100</v>
      </c>
      <c r="I33" t="s">
        <v>27</v>
      </c>
      <c r="J33">
        <v>2909</v>
      </c>
      <c r="K33" t="s">
        <v>28</v>
      </c>
      <c r="L33" t="str" cm="1">
        <f t="array" ref="L33">IF(SUMPRODUCT(COUNTIF(empresas_filtradas[[#This Row],[cnpj]:[email]],"*"&amp;#REF!&amp;"*"))&gt;0,"sim","não")</f>
        <v>não</v>
      </c>
      <c r="M33" t="s">
        <v>728</v>
      </c>
      <c r="N33" t="str">
        <f>_xlfn.XLOOKUP(empresas_filtradas[[#This Row],[cnpj]], empresas_identificadas_compleme!A:A, empresas_identificadas_compleme!B:B)</f>
        <v>talvez</v>
      </c>
      <c r="O33" t="str">
        <f>_xlfn.XLOOKUP(empresas_filtradas[[#This Row],[cnpj]], empresas_identificadas_compleme!A:A, empresas_identificadas_compleme!C:C)</f>
        <v>CTF_APP e 80km</v>
      </c>
    </row>
    <row r="34" spans="1:15" x14ac:dyDescent="0.25">
      <c r="A34">
        <v>2314026000130</v>
      </c>
      <c r="B34" t="s">
        <v>110</v>
      </c>
      <c r="C34">
        <v>2</v>
      </c>
      <c r="E34">
        <v>2014200</v>
      </c>
      <c r="F34" t="s">
        <v>111</v>
      </c>
      <c r="G34" t="s">
        <v>15</v>
      </c>
      <c r="H34">
        <v>50751312</v>
      </c>
      <c r="I34" t="s">
        <v>92</v>
      </c>
      <c r="J34">
        <v>2531</v>
      </c>
      <c r="K34" t="s">
        <v>112</v>
      </c>
      <c r="L34" t="str" cm="1">
        <f t="array" ref="L34">IF(SUMPRODUCT(COUNTIF(empresas_filtradas[[#This Row],[cnpj]:[email]],"*"&amp;#REF!&amp;"*"))&gt;0,"sim","não")</f>
        <v>não</v>
      </c>
      <c r="M34" t="s">
        <v>950</v>
      </c>
      <c r="N34" t="e">
        <f>_xlfn.XLOOKUP(empresas_filtradas[[#This Row],[cnpj]], empresas_identificadas_compleme!A:A, empresas_identificadas_compleme!B:B)</f>
        <v>#N/A</v>
      </c>
      <c r="O34" t="e">
        <f>_xlfn.XLOOKUP(empresas_filtradas[[#This Row],[cnpj]], empresas_identificadas_compleme!A:A, empresas_identificadas_compleme!C:C)</f>
        <v>#N/A</v>
      </c>
    </row>
    <row r="35" spans="1:15" x14ac:dyDescent="0.25">
      <c r="A35" s="1">
        <v>5914165000192</v>
      </c>
      <c r="B35" t="s">
        <v>15</v>
      </c>
      <c r="C35">
        <v>2</v>
      </c>
      <c r="E35">
        <v>2014200</v>
      </c>
      <c r="F35" t="s">
        <v>113</v>
      </c>
      <c r="G35" t="s">
        <v>15</v>
      </c>
      <c r="H35">
        <v>69008445</v>
      </c>
      <c r="I35" t="s">
        <v>114</v>
      </c>
      <c r="J35">
        <v>255</v>
      </c>
      <c r="K35" t="s">
        <v>115</v>
      </c>
      <c r="L35" t="str" cm="1">
        <f t="array" ref="L35">IF(SUMPRODUCT(COUNTIF(empresas_filtradas[[#This Row],[cnpj]:[email]],"*"&amp;#REF!&amp;"*"))&gt;0,"sim","não")</f>
        <v>não</v>
      </c>
      <c r="M35" t="s">
        <v>950</v>
      </c>
      <c r="N35" t="str">
        <f>_xlfn.XLOOKUP(empresas_filtradas[[#This Row],[cnpj]], empresas_identificadas_compleme!A:A, empresas_identificadas_compleme!B:B)</f>
        <v>talvez</v>
      </c>
      <c r="O35" t="str">
        <f>_xlfn.XLOOKUP(empresas_filtradas[[#This Row],[cnpj]], empresas_identificadas_compleme!A:A, empresas_identificadas_compleme!C:C)</f>
        <v>CTF_APP</v>
      </c>
    </row>
    <row r="36" spans="1:15" hidden="1" x14ac:dyDescent="0.25">
      <c r="A36" s="1">
        <v>35820448006410</v>
      </c>
      <c r="B36" t="s">
        <v>15</v>
      </c>
      <c r="C36">
        <v>2</v>
      </c>
      <c r="E36">
        <v>2014200</v>
      </c>
      <c r="F36" t="s">
        <v>16</v>
      </c>
      <c r="G36" t="s">
        <v>116</v>
      </c>
      <c r="H36">
        <v>95840000</v>
      </c>
      <c r="I36" t="s">
        <v>117</v>
      </c>
      <c r="J36">
        <v>8943</v>
      </c>
      <c r="K36" t="s">
        <v>33</v>
      </c>
      <c r="L36" t="str" cm="1">
        <f t="array" ref="L36">IF(SUMPRODUCT(COUNTIF(empresas_filtradas[[#This Row],[cnpj]:[email]],"*"&amp;#REF!&amp;"*"))&gt;0,"sim","não")</f>
        <v>não</v>
      </c>
      <c r="M36" t="s">
        <v>728</v>
      </c>
      <c r="N36" t="str">
        <f>_xlfn.XLOOKUP(empresas_filtradas[[#This Row],[cnpj]], empresas_identificadas_compleme!A:A, empresas_identificadas_compleme!B:B)</f>
        <v>talvez</v>
      </c>
      <c r="O36" t="str">
        <f>_xlfn.XLOOKUP(empresas_filtradas[[#This Row],[cnpj]], empresas_identificadas_compleme!A:A, empresas_identificadas_compleme!C:C)</f>
        <v>CTF_APP e 80km</v>
      </c>
    </row>
    <row r="37" spans="1:15" hidden="1" x14ac:dyDescent="0.25">
      <c r="A37" s="1">
        <v>35820448010360</v>
      </c>
      <c r="B37" t="s">
        <v>15</v>
      </c>
      <c r="C37">
        <v>2</v>
      </c>
      <c r="E37">
        <v>2014200</v>
      </c>
      <c r="F37" t="s">
        <v>118</v>
      </c>
      <c r="G37" t="s">
        <v>15</v>
      </c>
      <c r="H37">
        <v>13212240</v>
      </c>
      <c r="I37" t="s">
        <v>32</v>
      </c>
      <c r="J37">
        <v>6619</v>
      </c>
      <c r="K37" t="s">
        <v>33</v>
      </c>
      <c r="L37" t="str" cm="1">
        <f t="array" ref="L37">IF(SUMPRODUCT(COUNTIF(empresas_filtradas[[#This Row],[cnpj]:[email]],"*"&amp;#REF!&amp;"*"))&gt;0,"sim","não")</f>
        <v>não</v>
      </c>
      <c r="M37" t="s">
        <v>728</v>
      </c>
      <c r="N37" t="str">
        <f>_xlfn.XLOOKUP(empresas_filtradas[[#This Row],[cnpj]], empresas_identificadas_compleme!A:A, empresas_identificadas_compleme!B:B)</f>
        <v>talvez</v>
      </c>
      <c r="O37" t="str">
        <f>_xlfn.XLOOKUP(empresas_filtradas[[#This Row],[cnpj]], empresas_identificadas_compleme!A:A, empresas_identificadas_compleme!C:C)</f>
        <v>CTF_APP e 80km</v>
      </c>
    </row>
    <row r="38" spans="1:15" hidden="1" x14ac:dyDescent="0.25">
      <c r="A38" s="1">
        <v>35820448015915</v>
      </c>
      <c r="B38" t="s">
        <v>119</v>
      </c>
      <c r="C38">
        <v>2</v>
      </c>
      <c r="E38">
        <v>2014200</v>
      </c>
      <c r="F38" t="s">
        <v>120</v>
      </c>
      <c r="G38" t="s">
        <v>15</v>
      </c>
      <c r="H38">
        <v>13473625</v>
      </c>
      <c r="I38" t="s">
        <v>32</v>
      </c>
      <c r="J38">
        <v>6131</v>
      </c>
      <c r="K38" t="s">
        <v>33</v>
      </c>
      <c r="L38" t="str" cm="1">
        <f t="array" ref="L38">IF(SUMPRODUCT(COUNTIF(empresas_filtradas[[#This Row],[cnpj]:[email]],"*"&amp;#REF!&amp;"*"))&gt;0,"sim","não")</f>
        <v>não</v>
      </c>
      <c r="M38" t="s">
        <v>728</v>
      </c>
      <c r="N38" t="str">
        <f>_xlfn.XLOOKUP(empresas_filtradas[[#This Row],[cnpj]], empresas_identificadas_compleme!A:A, empresas_identificadas_compleme!B:B)</f>
        <v>talvez</v>
      </c>
      <c r="O38" t="str">
        <f>_xlfn.XLOOKUP(empresas_filtradas[[#This Row],[cnpj]], empresas_identificadas_compleme!A:A, empresas_identificadas_compleme!C:C)</f>
        <v>CTF_APP e 80km</v>
      </c>
    </row>
    <row r="39" spans="1:15" hidden="1" x14ac:dyDescent="0.25">
      <c r="A39" s="1">
        <v>35820448017454</v>
      </c>
      <c r="B39" t="s">
        <v>15</v>
      </c>
      <c r="C39">
        <v>2</v>
      </c>
      <c r="E39">
        <v>2014200</v>
      </c>
      <c r="F39" t="s">
        <v>16</v>
      </c>
      <c r="G39" t="s">
        <v>121</v>
      </c>
      <c r="H39">
        <v>11573900</v>
      </c>
      <c r="I39" t="s">
        <v>32</v>
      </c>
      <c r="J39">
        <v>6371</v>
      </c>
      <c r="K39" t="s">
        <v>33</v>
      </c>
      <c r="L39" t="str" cm="1">
        <f t="array" ref="L39">IF(SUMPRODUCT(COUNTIF(empresas_filtradas[[#This Row],[cnpj]:[email]],"*"&amp;#REF!&amp;"*"))&gt;0,"sim","não")</f>
        <v>não</v>
      </c>
      <c r="M39" t="s">
        <v>728</v>
      </c>
      <c r="N39" t="str">
        <f>_xlfn.XLOOKUP(empresas_filtradas[[#This Row],[cnpj]], empresas_identificadas_compleme!A:A, empresas_identificadas_compleme!B:B)</f>
        <v>talvez</v>
      </c>
      <c r="O39" t="str">
        <f>_xlfn.XLOOKUP(empresas_filtradas[[#This Row],[cnpj]], empresas_identificadas_compleme!A:A, empresas_identificadas_compleme!C:C)</f>
        <v>CTF_APP e 80km</v>
      </c>
    </row>
    <row r="40" spans="1:15" hidden="1" x14ac:dyDescent="0.25">
      <c r="A40">
        <v>2605266000355</v>
      </c>
      <c r="B40" t="s">
        <v>21</v>
      </c>
      <c r="C40">
        <v>2</v>
      </c>
      <c r="E40">
        <v>2014200</v>
      </c>
      <c r="F40" t="s">
        <v>122</v>
      </c>
      <c r="G40" t="s">
        <v>123</v>
      </c>
      <c r="H40">
        <v>29092300</v>
      </c>
      <c r="I40" t="s">
        <v>49</v>
      </c>
      <c r="J40">
        <v>5705</v>
      </c>
      <c r="K40" t="s">
        <v>24</v>
      </c>
      <c r="L40" t="str" cm="1">
        <f t="array" ref="L40">IF(SUMPRODUCT(COUNTIF(empresas_filtradas[[#This Row],[cnpj]:[email]],"*"&amp;#REF!&amp;"*"))&gt;0,"sim","não")</f>
        <v>não</v>
      </c>
      <c r="M40" t="s">
        <v>728</v>
      </c>
      <c r="N40" t="str">
        <f>_xlfn.XLOOKUP(empresas_filtradas[[#This Row],[cnpj]], empresas_identificadas_compleme!A:A, empresas_identificadas_compleme!B:B)</f>
        <v>talvez</v>
      </c>
      <c r="O40" t="str">
        <f>_xlfn.XLOOKUP(empresas_filtradas[[#This Row],[cnpj]], empresas_identificadas_compleme!A:A, empresas_identificadas_compleme!C:C)</f>
        <v>CTF_APP e 80km</v>
      </c>
    </row>
    <row r="41" spans="1:15" hidden="1" x14ac:dyDescent="0.25">
      <c r="A41">
        <v>60619202002787</v>
      </c>
      <c r="B41" t="s">
        <v>124</v>
      </c>
      <c r="C41">
        <v>3</v>
      </c>
      <c r="E41">
        <v>2014200</v>
      </c>
      <c r="F41" t="s">
        <v>16</v>
      </c>
      <c r="G41" t="s">
        <v>125</v>
      </c>
      <c r="H41">
        <v>24800001</v>
      </c>
      <c r="I41" t="s">
        <v>27</v>
      </c>
      <c r="J41">
        <v>5837</v>
      </c>
      <c r="K41" t="s">
        <v>956</v>
      </c>
      <c r="L41" t="str" cm="1">
        <f t="array" ref="L41">IF(SUMPRODUCT(COUNTIF(empresas_filtradas[[#This Row],[cnpj]:[email]],"*"&amp;#REF!&amp;"*"))&gt;0,"sim","não")</f>
        <v>não</v>
      </c>
      <c r="M41" t="s">
        <v>727</v>
      </c>
      <c r="N41" t="str">
        <f>_xlfn.XLOOKUP(empresas_filtradas[[#This Row],[cnpj]], empresas_identificadas_compleme!A:A, empresas_identificadas_compleme!B:B)</f>
        <v>talvez</v>
      </c>
      <c r="O41" t="str">
        <f>_xlfn.XLOOKUP(empresas_filtradas[[#This Row],[cnpj]], empresas_identificadas_compleme!A:A, empresas_identificadas_compleme!C:C)</f>
        <v>80km</v>
      </c>
    </row>
    <row r="42" spans="1:15" hidden="1" x14ac:dyDescent="0.25">
      <c r="A42" s="1">
        <v>24380578000260</v>
      </c>
      <c r="B42" t="s">
        <v>15</v>
      </c>
      <c r="C42">
        <v>2</v>
      </c>
      <c r="E42">
        <v>2014200</v>
      </c>
      <c r="F42" t="s">
        <v>126</v>
      </c>
      <c r="G42" t="s">
        <v>15</v>
      </c>
      <c r="H42">
        <v>57055000</v>
      </c>
      <c r="I42" t="s">
        <v>19</v>
      </c>
      <c r="J42">
        <v>2785</v>
      </c>
      <c r="K42" t="s">
        <v>33</v>
      </c>
      <c r="L42" t="str" cm="1">
        <f t="array" ref="L42">IF(SUMPRODUCT(COUNTIF(empresas_filtradas[[#This Row],[cnpj]:[email]],"*"&amp;#REF!&amp;"*"))&gt;0,"sim","não")</f>
        <v>não</v>
      </c>
      <c r="M42" t="s">
        <v>728</v>
      </c>
      <c r="N42" t="str">
        <f>_xlfn.XLOOKUP(empresas_filtradas[[#This Row],[cnpj]], empresas_identificadas_compleme!A:A, empresas_identificadas_compleme!B:B)</f>
        <v>talvez</v>
      </c>
      <c r="O42" t="str">
        <f>_xlfn.XLOOKUP(empresas_filtradas[[#This Row],[cnpj]], empresas_identificadas_compleme!A:A, empresas_identificadas_compleme!C:C)</f>
        <v>CTF_APP e 80km</v>
      </c>
    </row>
    <row r="43" spans="1:15" hidden="1" x14ac:dyDescent="0.25">
      <c r="A43">
        <v>67423152000178</v>
      </c>
      <c r="B43" t="s">
        <v>15</v>
      </c>
      <c r="C43">
        <v>2</v>
      </c>
      <c r="E43">
        <v>2014200</v>
      </c>
      <c r="F43" t="s">
        <v>127</v>
      </c>
      <c r="G43" t="s">
        <v>128</v>
      </c>
      <c r="H43">
        <v>13213009</v>
      </c>
      <c r="I43" t="s">
        <v>32</v>
      </c>
      <c r="J43">
        <v>6619</v>
      </c>
      <c r="K43" t="s">
        <v>129</v>
      </c>
      <c r="L43" t="str" cm="1">
        <f t="array" ref="L43">IF(SUMPRODUCT(COUNTIF(empresas_filtradas[[#This Row],[cnpj]:[email]],"*"&amp;#REF!&amp;"*"))&gt;0,"sim","não")</f>
        <v>não</v>
      </c>
      <c r="M43" t="s">
        <v>951</v>
      </c>
      <c r="N43" t="str">
        <f>_xlfn.XLOOKUP(empresas_filtradas[[#This Row],[cnpj]], empresas_identificadas_compleme!A:A, empresas_identificadas_compleme!B:B)</f>
        <v>talvez</v>
      </c>
      <c r="O43" t="str">
        <f>_xlfn.XLOOKUP(empresas_filtradas[[#This Row],[cnpj]], empresas_identificadas_compleme!A:A, empresas_identificadas_compleme!C:C)</f>
        <v>CTF_APP e 80km</v>
      </c>
    </row>
    <row r="44" spans="1:15" x14ac:dyDescent="0.25">
      <c r="A44" s="1">
        <v>4075268000143</v>
      </c>
      <c r="B44" t="s">
        <v>130</v>
      </c>
      <c r="C44">
        <v>2</v>
      </c>
      <c r="E44">
        <v>2014200</v>
      </c>
      <c r="F44" t="s">
        <v>131</v>
      </c>
      <c r="G44" t="s">
        <v>15</v>
      </c>
      <c r="H44">
        <v>3901010</v>
      </c>
      <c r="I44" t="s">
        <v>32</v>
      </c>
      <c r="J44">
        <v>7107</v>
      </c>
      <c r="K44" t="s">
        <v>132</v>
      </c>
      <c r="L44" t="str" cm="1">
        <f t="array" ref="L44">IF(SUMPRODUCT(COUNTIF(empresas_filtradas[[#This Row],[cnpj]:[email]],"*"&amp;#REF!&amp;"*"))&gt;0,"sim","não")</f>
        <v>não</v>
      </c>
      <c r="M44" t="s">
        <v>950</v>
      </c>
      <c r="N44" t="str">
        <f>_xlfn.XLOOKUP(empresas_filtradas[[#This Row],[cnpj]], empresas_identificadas_compleme!A:A, empresas_identificadas_compleme!B:B)</f>
        <v>talvez</v>
      </c>
      <c r="O44" t="str">
        <f>_xlfn.XLOOKUP(empresas_filtradas[[#This Row],[cnpj]], empresas_identificadas_compleme!A:A, empresas_identificadas_compleme!C:C)</f>
        <v>80km</v>
      </c>
    </row>
    <row r="45" spans="1:15" hidden="1" x14ac:dyDescent="0.25">
      <c r="A45" s="1">
        <v>24380578004176</v>
      </c>
      <c r="B45" t="s">
        <v>15</v>
      </c>
      <c r="C45">
        <v>2</v>
      </c>
      <c r="E45">
        <v>2014200</v>
      </c>
      <c r="F45" t="s">
        <v>16</v>
      </c>
      <c r="G45" t="s">
        <v>26</v>
      </c>
      <c r="H45">
        <v>49170000</v>
      </c>
      <c r="I45" t="s">
        <v>133</v>
      </c>
      <c r="J45">
        <v>3171</v>
      </c>
      <c r="K45" t="s">
        <v>33</v>
      </c>
      <c r="L45" t="str" cm="1">
        <f t="array" ref="L45">IF(SUMPRODUCT(COUNTIF(empresas_filtradas[[#This Row],[cnpj]:[email]],"*"&amp;#REF!&amp;"*"))&gt;0,"sim","não")</f>
        <v>não</v>
      </c>
      <c r="M45" t="s">
        <v>728</v>
      </c>
      <c r="N45" t="str">
        <f>_xlfn.XLOOKUP(empresas_filtradas[[#This Row],[cnpj]], empresas_identificadas_compleme!A:A, empresas_identificadas_compleme!B:B)</f>
        <v>talvez</v>
      </c>
      <c r="O45" t="str">
        <f>_xlfn.XLOOKUP(empresas_filtradas[[#This Row],[cnpj]], empresas_identificadas_compleme!A:A, empresas_identificadas_compleme!C:C)</f>
        <v>CTF_APP e 80km</v>
      </c>
    </row>
    <row r="46" spans="1:15" hidden="1" x14ac:dyDescent="0.25">
      <c r="A46">
        <v>24380578000936</v>
      </c>
      <c r="B46" t="s">
        <v>15</v>
      </c>
      <c r="C46">
        <v>2</v>
      </c>
      <c r="E46">
        <v>2014200</v>
      </c>
      <c r="F46" t="s">
        <v>16</v>
      </c>
      <c r="G46" t="s">
        <v>15</v>
      </c>
      <c r="H46">
        <v>42810000</v>
      </c>
      <c r="I46" t="s">
        <v>60</v>
      </c>
      <c r="J46">
        <v>3413</v>
      </c>
      <c r="K46" t="s">
        <v>33</v>
      </c>
      <c r="L46" t="str" cm="1">
        <f t="array" ref="L46">IF(SUMPRODUCT(COUNTIF(empresas_filtradas[[#This Row],[cnpj]:[email]],"*"&amp;#REF!&amp;"*"))&gt;0,"sim","não")</f>
        <v>não</v>
      </c>
      <c r="M46" t="s">
        <v>728</v>
      </c>
      <c r="N46" t="str">
        <f>_xlfn.XLOOKUP(empresas_filtradas[[#This Row],[cnpj]], empresas_identificadas_compleme!A:A, empresas_identificadas_compleme!B:B)</f>
        <v>talvez</v>
      </c>
      <c r="O46" t="str">
        <f>_xlfn.XLOOKUP(empresas_filtradas[[#This Row],[cnpj]], empresas_identificadas_compleme!A:A, empresas_identificadas_compleme!C:C)</f>
        <v>CTF_APP e 80km</v>
      </c>
    </row>
    <row r="47" spans="1:15" hidden="1" x14ac:dyDescent="0.25">
      <c r="A47" s="1">
        <v>34597955002648</v>
      </c>
      <c r="B47" t="s">
        <v>15</v>
      </c>
      <c r="C47">
        <v>2</v>
      </c>
      <c r="E47">
        <v>2014200</v>
      </c>
      <c r="F47" t="s">
        <v>134</v>
      </c>
      <c r="G47" t="s">
        <v>135</v>
      </c>
      <c r="H47">
        <v>68448000</v>
      </c>
      <c r="I47" t="s">
        <v>78</v>
      </c>
      <c r="J47">
        <v>425</v>
      </c>
      <c r="K47" t="s">
        <v>33</v>
      </c>
      <c r="L47" t="str" cm="1">
        <f t="array" ref="L47">IF(SUMPRODUCT(COUNTIF(empresas_filtradas[[#This Row],[cnpj]:[email]],"*"&amp;#REF!&amp;"*"))&gt;0,"sim","não")</f>
        <v>não</v>
      </c>
      <c r="M47" t="s">
        <v>728</v>
      </c>
      <c r="N47" t="str">
        <f>_xlfn.XLOOKUP(empresas_filtradas[[#This Row],[cnpj]], empresas_identificadas_compleme!A:A, empresas_identificadas_compleme!B:B)</f>
        <v>talvez</v>
      </c>
      <c r="O47" t="str">
        <f>_xlfn.XLOOKUP(empresas_filtradas[[#This Row],[cnpj]], empresas_identificadas_compleme!A:A, empresas_identificadas_compleme!C:C)</f>
        <v>CTF_APP e 80km</v>
      </c>
    </row>
    <row r="48" spans="1:15" hidden="1" x14ac:dyDescent="0.25">
      <c r="A48" s="1">
        <v>35820448003909</v>
      </c>
      <c r="B48" t="s">
        <v>15</v>
      </c>
      <c r="C48">
        <v>2</v>
      </c>
      <c r="E48">
        <v>2014200</v>
      </c>
      <c r="F48" t="s">
        <v>136</v>
      </c>
      <c r="G48" t="s">
        <v>15</v>
      </c>
      <c r="H48">
        <v>38402324</v>
      </c>
      <c r="I48" t="s">
        <v>17</v>
      </c>
      <c r="J48">
        <v>5403</v>
      </c>
      <c r="K48" t="s">
        <v>33</v>
      </c>
      <c r="L48" t="str" cm="1">
        <f t="array" ref="L48">IF(SUMPRODUCT(COUNTIF(empresas_filtradas[[#This Row],[cnpj]:[email]],"*"&amp;#REF!&amp;"*"))&gt;0,"sim","não")</f>
        <v>não</v>
      </c>
      <c r="M48" t="s">
        <v>727</v>
      </c>
      <c r="N48" t="str">
        <f>_xlfn.XLOOKUP(empresas_filtradas[[#This Row],[cnpj]], empresas_identificadas_compleme!A:A, empresas_identificadas_compleme!B:B)</f>
        <v>talvez</v>
      </c>
      <c r="O48" t="str">
        <f>_xlfn.XLOOKUP(empresas_filtradas[[#This Row],[cnpj]], empresas_identificadas_compleme!A:A, empresas_identificadas_compleme!C:C)</f>
        <v>CTF_APP</v>
      </c>
    </row>
    <row r="49" spans="1:15" x14ac:dyDescent="0.25">
      <c r="A49">
        <v>43117399000289</v>
      </c>
      <c r="B49" t="s">
        <v>15</v>
      </c>
      <c r="C49">
        <v>2</v>
      </c>
      <c r="E49">
        <v>2014200</v>
      </c>
      <c r="F49" t="s">
        <v>137</v>
      </c>
      <c r="G49" t="s">
        <v>15</v>
      </c>
      <c r="H49">
        <v>9380440</v>
      </c>
      <c r="I49" t="s">
        <v>32</v>
      </c>
      <c r="J49">
        <v>6689</v>
      </c>
      <c r="K49" t="s">
        <v>15</v>
      </c>
      <c r="L49" t="str" cm="1">
        <f t="array" ref="L49">IF(SUMPRODUCT(COUNTIF(empresas_filtradas[[#This Row],[cnpj]:[email]],"*"&amp;#REF!&amp;"*"))&gt;0,"sim","não")</f>
        <v>não</v>
      </c>
      <c r="M49" t="s">
        <v>950</v>
      </c>
      <c r="N49" t="str">
        <f>_xlfn.XLOOKUP(empresas_filtradas[[#This Row],[cnpj]], empresas_identificadas_compleme!A:A, empresas_identificadas_compleme!B:B)</f>
        <v>incerto</v>
      </c>
      <c r="O49" t="str">
        <f>_xlfn.XLOOKUP(empresas_filtradas[[#This Row],[cnpj]], empresas_identificadas_compleme!A:A, empresas_identificadas_compleme!C:C)</f>
        <v>CTF_APP e 80km</v>
      </c>
    </row>
    <row r="50" spans="1:15" hidden="1" x14ac:dyDescent="0.25">
      <c r="A50">
        <v>60619202001624</v>
      </c>
      <c r="B50" t="s">
        <v>21</v>
      </c>
      <c r="C50">
        <v>2</v>
      </c>
      <c r="E50">
        <v>2014200</v>
      </c>
      <c r="F50" t="s">
        <v>138</v>
      </c>
      <c r="G50" t="s">
        <v>15</v>
      </c>
      <c r="H50">
        <v>32210120</v>
      </c>
      <c r="I50" t="s">
        <v>17</v>
      </c>
      <c r="J50">
        <v>4371</v>
      </c>
      <c r="K50" t="s">
        <v>24</v>
      </c>
      <c r="L50" t="str" cm="1">
        <f t="array" ref="L50">IF(SUMPRODUCT(COUNTIF(empresas_filtradas[[#This Row],[cnpj]:[email]],"*"&amp;#REF!&amp;"*"))&gt;0,"sim","não")</f>
        <v>não</v>
      </c>
      <c r="M50" t="s">
        <v>728</v>
      </c>
      <c r="N50" t="str">
        <f>_xlfn.XLOOKUP(empresas_filtradas[[#This Row],[cnpj]], empresas_identificadas_compleme!A:A, empresas_identificadas_compleme!B:B)</f>
        <v>talvez</v>
      </c>
      <c r="O50" t="str">
        <f>_xlfn.XLOOKUP(empresas_filtradas[[#This Row],[cnpj]], empresas_identificadas_compleme!A:A, empresas_identificadas_compleme!C:C)</f>
        <v>CTF_APP e 80km</v>
      </c>
    </row>
    <row r="51" spans="1:15" hidden="1" x14ac:dyDescent="0.25">
      <c r="A51" s="1">
        <v>35820448009940</v>
      </c>
      <c r="B51" t="s">
        <v>139</v>
      </c>
      <c r="C51">
        <v>2</v>
      </c>
      <c r="E51">
        <v>2014200</v>
      </c>
      <c r="F51" t="s">
        <v>140</v>
      </c>
      <c r="G51" t="s">
        <v>15</v>
      </c>
      <c r="H51">
        <v>13412201</v>
      </c>
      <c r="I51" t="s">
        <v>32</v>
      </c>
      <c r="J51">
        <v>6875</v>
      </c>
      <c r="K51" t="s">
        <v>33</v>
      </c>
      <c r="L51" t="str" cm="1">
        <f t="array" ref="L51">IF(SUMPRODUCT(COUNTIF(empresas_filtradas[[#This Row],[cnpj]:[email]],"*"&amp;#REF!&amp;"*"))&gt;0,"sim","não")</f>
        <v>não</v>
      </c>
      <c r="M51" t="s">
        <v>728</v>
      </c>
      <c r="N51" t="str">
        <f>_xlfn.XLOOKUP(empresas_filtradas[[#This Row],[cnpj]], empresas_identificadas_compleme!A:A, empresas_identificadas_compleme!B:B)</f>
        <v>talvez</v>
      </c>
      <c r="O51" t="str">
        <f>_xlfn.XLOOKUP(empresas_filtradas[[#This Row],[cnpj]], empresas_identificadas_compleme!A:A, empresas_identificadas_compleme!C:C)</f>
        <v>CTF_APP e 80km</v>
      </c>
    </row>
    <row r="52" spans="1:15" x14ac:dyDescent="0.25">
      <c r="A52" s="1">
        <v>13243140000132</v>
      </c>
      <c r="B52" t="s">
        <v>141</v>
      </c>
      <c r="C52">
        <v>2</v>
      </c>
      <c r="E52">
        <v>2014200</v>
      </c>
      <c r="F52" t="s">
        <v>142</v>
      </c>
      <c r="G52" t="s">
        <v>15</v>
      </c>
      <c r="H52">
        <v>14781160</v>
      </c>
      <c r="I52" t="s">
        <v>32</v>
      </c>
      <c r="J52">
        <v>6209</v>
      </c>
      <c r="K52" t="s">
        <v>143</v>
      </c>
      <c r="L52" t="str" cm="1">
        <f t="array" ref="L52">IF(SUMPRODUCT(COUNTIF(empresas_filtradas[[#This Row],[cnpj]:[email]],"*"&amp;#REF!&amp;"*"))&gt;0,"sim","não")</f>
        <v>não</v>
      </c>
      <c r="M52" t="s">
        <v>950</v>
      </c>
      <c r="N52" t="str">
        <f>_xlfn.XLOOKUP(empresas_filtradas[[#This Row],[cnpj]], empresas_identificadas_compleme!A:A, empresas_identificadas_compleme!B:B)</f>
        <v>talvez</v>
      </c>
      <c r="O52" t="str">
        <f>_xlfn.XLOOKUP(empresas_filtradas[[#This Row],[cnpj]], empresas_identificadas_compleme!A:A, empresas_identificadas_compleme!C:C)</f>
        <v>CTF_APP</v>
      </c>
    </row>
    <row r="53" spans="1:15" hidden="1" x14ac:dyDescent="0.25">
      <c r="A53" s="1">
        <v>35820448019821</v>
      </c>
      <c r="B53" t="s">
        <v>15</v>
      </c>
      <c r="C53">
        <v>2</v>
      </c>
      <c r="E53">
        <v>2014200</v>
      </c>
      <c r="F53" t="s">
        <v>16</v>
      </c>
      <c r="G53" t="s">
        <v>144</v>
      </c>
      <c r="H53">
        <v>79600001</v>
      </c>
      <c r="I53" t="s">
        <v>62</v>
      </c>
      <c r="J53">
        <v>9165</v>
      </c>
      <c r="K53" t="s">
        <v>33</v>
      </c>
      <c r="L53" t="str" cm="1">
        <f t="array" ref="L53">IF(SUMPRODUCT(COUNTIF(empresas_filtradas[[#This Row],[cnpj]:[email]],"*"&amp;#REF!&amp;"*"))&gt;0,"sim","não")</f>
        <v>não</v>
      </c>
      <c r="M53" t="s">
        <v>727</v>
      </c>
      <c r="N53" t="str">
        <f>_xlfn.XLOOKUP(empresas_filtradas[[#This Row],[cnpj]], empresas_identificadas_compleme!A:A, empresas_identificadas_compleme!B:B)</f>
        <v>talvez</v>
      </c>
      <c r="O53" t="str">
        <f>_xlfn.XLOOKUP(empresas_filtradas[[#This Row],[cnpj]], empresas_identificadas_compleme!A:A, empresas_identificadas_compleme!C:C)</f>
        <v>CTF_APP</v>
      </c>
    </row>
    <row r="54" spans="1:15" hidden="1" x14ac:dyDescent="0.25">
      <c r="A54">
        <v>331788006150</v>
      </c>
      <c r="B54" t="s">
        <v>38</v>
      </c>
      <c r="C54">
        <v>2</v>
      </c>
      <c r="E54">
        <v>2014200</v>
      </c>
      <c r="F54" t="s">
        <v>145</v>
      </c>
      <c r="G54" t="s">
        <v>146</v>
      </c>
      <c r="H54">
        <v>15076080</v>
      </c>
      <c r="I54" t="s">
        <v>32</v>
      </c>
      <c r="J54">
        <v>7097</v>
      </c>
      <c r="K54" t="s">
        <v>28</v>
      </c>
      <c r="L54" t="str" cm="1">
        <f t="array" ref="L54">IF(SUMPRODUCT(COUNTIF(empresas_filtradas[[#This Row],[cnpj]:[email]],"*"&amp;#REF!&amp;"*"))&gt;0,"sim","não")</f>
        <v>não</v>
      </c>
      <c r="M54" t="s">
        <v>727</v>
      </c>
      <c r="N54" t="str">
        <f>_xlfn.XLOOKUP(empresas_filtradas[[#This Row],[cnpj]], empresas_identificadas_compleme!A:A, empresas_identificadas_compleme!B:B)</f>
        <v>talvez</v>
      </c>
      <c r="O54" t="str">
        <f>_xlfn.XLOOKUP(empresas_filtradas[[#This Row],[cnpj]], empresas_identificadas_compleme!A:A, empresas_identificadas_compleme!C:C)</f>
        <v>CTF_APP</v>
      </c>
    </row>
    <row r="55" spans="1:15" hidden="1" x14ac:dyDescent="0.25">
      <c r="A55">
        <v>43843358003457</v>
      </c>
      <c r="B55" t="s">
        <v>147</v>
      </c>
      <c r="C55">
        <v>2</v>
      </c>
      <c r="E55">
        <v>2014200</v>
      </c>
      <c r="F55" t="s">
        <v>16</v>
      </c>
      <c r="G55" t="s">
        <v>15</v>
      </c>
      <c r="H55">
        <v>12523671</v>
      </c>
      <c r="I55" t="s">
        <v>32</v>
      </c>
      <c r="J55">
        <v>6469</v>
      </c>
      <c r="K55" t="s">
        <v>37</v>
      </c>
      <c r="L55" t="str" cm="1">
        <f t="array" ref="L55">IF(SUMPRODUCT(COUNTIF(empresas_filtradas[[#This Row],[cnpj]:[email]],"*"&amp;#REF!&amp;"*"))&gt;0,"sim","não")</f>
        <v>não</v>
      </c>
      <c r="M55" t="s">
        <v>726</v>
      </c>
      <c r="N55" t="str">
        <f>_xlfn.XLOOKUP(empresas_filtradas[[#This Row],[cnpj]], empresas_identificadas_compleme!A:A, empresas_identificadas_compleme!B:B)</f>
        <v>talvez</v>
      </c>
      <c r="O55" t="str">
        <f>_xlfn.XLOOKUP(empresas_filtradas[[#This Row],[cnpj]], empresas_identificadas_compleme!A:A, empresas_identificadas_compleme!C:C)</f>
        <v>CTF_APP</v>
      </c>
    </row>
    <row r="56" spans="1:15" hidden="1" x14ac:dyDescent="0.25">
      <c r="A56" s="1">
        <v>24380578006543</v>
      </c>
      <c r="B56" t="s">
        <v>15</v>
      </c>
      <c r="C56">
        <v>2</v>
      </c>
      <c r="E56">
        <v>2014200</v>
      </c>
      <c r="F56" t="s">
        <v>16</v>
      </c>
      <c r="G56" t="s">
        <v>148</v>
      </c>
      <c r="H56">
        <v>55900000</v>
      </c>
      <c r="I56" t="s">
        <v>92</v>
      </c>
      <c r="J56">
        <v>2423</v>
      </c>
      <c r="K56" t="s">
        <v>33</v>
      </c>
      <c r="L56" t="str" cm="1">
        <f t="array" ref="L56">IF(SUMPRODUCT(COUNTIF(empresas_filtradas[[#This Row],[cnpj]:[email]],"*"&amp;#REF!&amp;"*"))&gt;0,"sim","não")</f>
        <v>não</v>
      </c>
      <c r="M56" t="s">
        <v>727</v>
      </c>
      <c r="N56" t="str">
        <f>_xlfn.XLOOKUP(empresas_filtradas[[#This Row],[cnpj]], empresas_identificadas_compleme!A:A, empresas_identificadas_compleme!B:B)</f>
        <v>talvez</v>
      </c>
      <c r="O56" t="str">
        <f>_xlfn.XLOOKUP(empresas_filtradas[[#This Row],[cnpj]], empresas_identificadas_compleme!A:A, empresas_identificadas_compleme!C:C)</f>
        <v>CTF_APP</v>
      </c>
    </row>
    <row r="57" spans="1:15" hidden="1" x14ac:dyDescent="0.25">
      <c r="A57" s="1">
        <v>35820448020676</v>
      </c>
      <c r="B57" t="s">
        <v>15</v>
      </c>
      <c r="C57">
        <v>2</v>
      </c>
      <c r="E57">
        <v>2014200</v>
      </c>
      <c r="F57" t="s">
        <v>149</v>
      </c>
      <c r="G57" t="s">
        <v>15</v>
      </c>
      <c r="H57">
        <v>8613370</v>
      </c>
      <c r="I57" t="s">
        <v>32</v>
      </c>
      <c r="J57">
        <v>7151</v>
      </c>
      <c r="K57" t="s">
        <v>33</v>
      </c>
      <c r="L57" t="str" cm="1">
        <f t="array" ref="L57">IF(SUMPRODUCT(COUNTIF(empresas_filtradas[[#This Row],[cnpj]:[email]],"*"&amp;#REF!&amp;"*"))&gt;0,"sim","não")</f>
        <v>não</v>
      </c>
      <c r="M57" t="s">
        <v>728</v>
      </c>
      <c r="N57" t="str">
        <f>_xlfn.XLOOKUP(empresas_filtradas[[#This Row],[cnpj]], empresas_identificadas_compleme!A:A, empresas_identificadas_compleme!B:B)</f>
        <v>talvez</v>
      </c>
      <c r="O57" t="str">
        <f>_xlfn.XLOOKUP(empresas_filtradas[[#This Row],[cnpj]], empresas_identificadas_compleme!A:A, empresas_identificadas_compleme!C:C)</f>
        <v>CTF_APP e 80km</v>
      </c>
    </row>
    <row r="58" spans="1:15" x14ac:dyDescent="0.25">
      <c r="A58">
        <v>24530580000197</v>
      </c>
      <c r="B58" t="s">
        <v>15</v>
      </c>
      <c r="C58">
        <v>2</v>
      </c>
      <c r="E58">
        <v>2014200</v>
      </c>
      <c r="F58" t="s">
        <v>150</v>
      </c>
      <c r="G58" t="s">
        <v>15</v>
      </c>
      <c r="H58">
        <v>99064443</v>
      </c>
      <c r="I58" t="s">
        <v>117</v>
      </c>
      <c r="J58">
        <v>8785</v>
      </c>
      <c r="K58" t="s">
        <v>151</v>
      </c>
      <c r="L58" t="str" cm="1">
        <f t="array" ref="L58">IF(SUMPRODUCT(COUNTIF(empresas_filtradas[[#This Row],[cnpj]:[email]],"*"&amp;#REF!&amp;"*"))&gt;0,"sim","não")</f>
        <v>não</v>
      </c>
      <c r="M58" t="s">
        <v>950</v>
      </c>
      <c r="N58" t="e">
        <f>_xlfn.XLOOKUP(empresas_filtradas[[#This Row],[cnpj]], empresas_identificadas_compleme!A:A, empresas_identificadas_compleme!B:B)</f>
        <v>#N/A</v>
      </c>
      <c r="O58" t="e">
        <f>_xlfn.XLOOKUP(empresas_filtradas[[#This Row],[cnpj]], empresas_identificadas_compleme!A:A, empresas_identificadas_compleme!C:C)</f>
        <v>#N/A</v>
      </c>
    </row>
    <row r="59" spans="1:15" hidden="1" x14ac:dyDescent="0.25">
      <c r="A59" s="1">
        <v>35820448021052</v>
      </c>
      <c r="B59" t="s">
        <v>15</v>
      </c>
      <c r="C59">
        <v>2</v>
      </c>
      <c r="E59">
        <v>2014200</v>
      </c>
      <c r="F59" t="s">
        <v>16</v>
      </c>
      <c r="G59" t="s">
        <v>152</v>
      </c>
      <c r="H59">
        <v>79641300</v>
      </c>
      <c r="I59" t="s">
        <v>62</v>
      </c>
      <c r="J59">
        <v>9165</v>
      </c>
      <c r="K59" t="s">
        <v>33</v>
      </c>
      <c r="L59" t="str" cm="1">
        <f t="array" ref="L59">IF(SUMPRODUCT(COUNTIF(empresas_filtradas[[#This Row],[cnpj]:[email]],"*"&amp;#REF!&amp;"*"))&gt;0,"sim","não")</f>
        <v>não</v>
      </c>
      <c r="M59" t="s">
        <v>727</v>
      </c>
      <c r="N59" t="str">
        <f>_xlfn.XLOOKUP(empresas_filtradas[[#This Row],[cnpj]], empresas_identificadas_compleme!A:A, empresas_identificadas_compleme!B:B)</f>
        <v>talvez</v>
      </c>
      <c r="O59" t="str">
        <f>_xlfn.XLOOKUP(empresas_filtradas[[#This Row],[cnpj]], empresas_identificadas_compleme!A:A, empresas_identificadas_compleme!C:C)</f>
        <v>CTF_APP</v>
      </c>
    </row>
    <row r="60" spans="1:15" hidden="1" x14ac:dyDescent="0.25">
      <c r="A60">
        <v>74481011000681</v>
      </c>
      <c r="B60" t="s">
        <v>153</v>
      </c>
      <c r="C60">
        <v>2</v>
      </c>
      <c r="E60">
        <v>2014200</v>
      </c>
      <c r="F60" t="s">
        <v>154</v>
      </c>
      <c r="G60" t="s">
        <v>15</v>
      </c>
      <c r="H60">
        <v>81460040</v>
      </c>
      <c r="I60" t="s">
        <v>45</v>
      </c>
      <c r="J60">
        <v>7535</v>
      </c>
      <c r="K60" t="s">
        <v>155</v>
      </c>
      <c r="L60" t="str" cm="1">
        <f t="array" ref="L60">IF(SUMPRODUCT(COUNTIF(empresas_filtradas[[#This Row],[cnpj]:[email]],"*"&amp;#REF!&amp;"*"))&gt;0,"sim","não")</f>
        <v>não</v>
      </c>
      <c r="M60" t="s">
        <v>951</v>
      </c>
      <c r="N60" t="str">
        <f>_xlfn.XLOOKUP(empresas_filtradas[[#This Row],[cnpj]], empresas_identificadas_compleme!A:A, empresas_identificadas_compleme!B:B)</f>
        <v>talvez</v>
      </c>
      <c r="O60" t="str">
        <f>_xlfn.XLOOKUP(empresas_filtradas[[#This Row],[cnpj]], empresas_identificadas_compleme!A:A, empresas_identificadas_compleme!C:C)</f>
        <v>CTF_APP e 80km</v>
      </c>
    </row>
    <row r="61" spans="1:15" hidden="1" x14ac:dyDescent="0.25">
      <c r="A61" s="1">
        <v>35820448022458</v>
      </c>
      <c r="B61" t="s">
        <v>15</v>
      </c>
      <c r="C61">
        <v>2</v>
      </c>
      <c r="E61">
        <v>2014200</v>
      </c>
      <c r="F61" t="s">
        <v>74</v>
      </c>
      <c r="G61" t="s">
        <v>156</v>
      </c>
      <c r="H61">
        <v>93700000</v>
      </c>
      <c r="I61" t="s">
        <v>117</v>
      </c>
      <c r="J61">
        <v>8577</v>
      </c>
      <c r="K61" t="s">
        <v>33</v>
      </c>
      <c r="L61" t="str" cm="1">
        <f t="array" ref="L61">IF(SUMPRODUCT(COUNTIF(empresas_filtradas[[#This Row],[cnpj]:[email]],"*"&amp;#REF!&amp;"*"))&gt;0,"sim","não")</f>
        <v>não</v>
      </c>
      <c r="M61" t="s">
        <v>728</v>
      </c>
      <c r="N61" t="str">
        <f>_xlfn.XLOOKUP(empresas_filtradas[[#This Row],[cnpj]], empresas_identificadas_compleme!A:A, empresas_identificadas_compleme!B:B)</f>
        <v>talvez</v>
      </c>
      <c r="O61" t="str">
        <f>_xlfn.XLOOKUP(empresas_filtradas[[#This Row],[cnpj]], empresas_identificadas_compleme!A:A, empresas_identificadas_compleme!C:C)</f>
        <v>CTF_APP e 80km</v>
      </c>
    </row>
    <row r="62" spans="1:15" x14ac:dyDescent="0.25">
      <c r="A62" s="1">
        <v>9043891000480</v>
      </c>
      <c r="B62" t="s">
        <v>157</v>
      </c>
      <c r="C62">
        <v>2</v>
      </c>
      <c r="E62">
        <v>2014200</v>
      </c>
      <c r="F62" t="s">
        <v>158</v>
      </c>
      <c r="G62" t="s">
        <v>159</v>
      </c>
      <c r="H62">
        <v>54503410</v>
      </c>
      <c r="I62" t="s">
        <v>92</v>
      </c>
      <c r="J62">
        <v>2357</v>
      </c>
      <c r="K62" t="s">
        <v>160</v>
      </c>
      <c r="L62" t="str" cm="1">
        <f t="array" ref="L62">IF(SUMPRODUCT(COUNTIF(empresas_filtradas[[#This Row],[cnpj]:[email]],"*"&amp;#REF!&amp;"*"))&gt;0,"sim","não")</f>
        <v>não</v>
      </c>
      <c r="M62" t="s">
        <v>950</v>
      </c>
      <c r="N62" t="str">
        <f>_xlfn.XLOOKUP(empresas_filtradas[[#This Row],[cnpj]], empresas_identificadas_compleme!A:A, empresas_identificadas_compleme!B:B)</f>
        <v>talvez</v>
      </c>
      <c r="O62" t="str">
        <f>_xlfn.XLOOKUP(empresas_filtradas[[#This Row],[cnpj]], empresas_identificadas_compleme!A:A, empresas_identificadas_compleme!C:C)</f>
        <v>80km</v>
      </c>
    </row>
    <row r="63" spans="1:15" hidden="1" x14ac:dyDescent="0.25">
      <c r="A63">
        <v>55246769000186</v>
      </c>
      <c r="B63" t="s">
        <v>15</v>
      </c>
      <c r="C63">
        <v>2</v>
      </c>
      <c r="D63">
        <v>105</v>
      </c>
      <c r="E63">
        <v>2014200</v>
      </c>
      <c r="F63" t="s">
        <v>16</v>
      </c>
      <c r="G63" t="s">
        <v>15</v>
      </c>
      <c r="H63">
        <v>64213901</v>
      </c>
      <c r="I63" t="s">
        <v>87</v>
      </c>
      <c r="J63">
        <v>1153</v>
      </c>
      <c r="K63" t="s">
        <v>84</v>
      </c>
      <c r="L63" t="str" cm="1">
        <f t="array" ref="L63">IF(SUMPRODUCT(COUNTIF(empresas_filtradas[[#This Row],[cnpj]:[email]],"*"&amp;#REF!&amp;"*"))&gt;0,"sim","não")</f>
        <v>não</v>
      </c>
      <c r="M63" t="s">
        <v>727</v>
      </c>
      <c r="N63" t="str">
        <f>_xlfn.XLOOKUP(empresas_filtradas[[#This Row],[cnpj]], empresas_identificadas_compleme!A:A, empresas_identificadas_compleme!B:B)</f>
        <v>talvez</v>
      </c>
      <c r="O63">
        <f>_xlfn.XLOOKUP(empresas_filtradas[[#This Row],[cnpj]], empresas_identificadas_compleme!A:A, empresas_identificadas_compleme!C:C)</f>
        <v>0</v>
      </c>
    </row>
    <row r="64" spans="1:15" hidden="1" x14ac:dyDescent="0.25">
      <c r="A64">
        <v>54001996000189</v>
      </c>
      <c r="B64" t="s">
        <v>15</v>
      </c>
      <c r="C64">
        <v>2</v>
      </c>
      <c r="D64">
        <v>105</v>
      </c>
      <c r="E64">
        <v>2014200</v>
      </c>
      <c r="F64" t="s">
        <v>95</v>
      </c>
      <c r="G64" t="s">
        <v>161</v>
      </c>
      <c r="H64">
        <v>60170002</v>
      </c>
      <c r="I64" t="s">
        <v>108</v>
      </c>
      <c r="J64">
        <v>1389</v>
      </c>
      <c r="K64" t="s">
        <v>162</v>
      </c>
      <c r="L64" t="str" cm="1">
        <f t="array" ref="L64">IF(SUMPRODUCT(COUNTIF(empresas_filtradas[[#This Row],[cnpj]:[email]],"*"&amp;#REF!&amp;"*"))&gt;0,"sim","não")</f>
        <v>não</v>
      </c>
      <c r="M64" t="s">
        <v>952</v>
      </c>
      <c r="N64" t="str">
        <f>_xlfn.XLOOKUP(empresas_filtradas[[#This Row],[cnpj]], empresas_identificadas_compleme!A:A, empresas_identificadas_compleme!B:B)</f>
        <v>talvez</v>
      </c>
      <c r="O64" t="str">
        <f>_xlfn.XLOOKUP(empresas_filtradas[[#This Row],[cnpj]], empresas_identificadas_compleme!A:A, empresas_identificadas_compleme!C:C)</f>
        <v>80km</v>
      </c>
    </row>
    <row r="65" spans="1:15" x14ac:dyDescent="0.25">
      <c r="A65">
        <v>5329135000119</v>
      </c>
      <c r="B65" t="s">
        <v>163</v>
      </c>
      <c r="C65">
        <v>2</v>
      </c>
      <c r="E65">
        <v>2014200</v>
      </c>
      <c r="F65" t="s">
        <v>164</v>
      </c>
      <c r="G65" t="s">
        <v>15</v>
      </c>
      <c r="H65">
        <v>58011040</v>
      </c>
      <c r="I65" t="s">
        <v>96</v>
      </c>
      <c r="J65">
        <v>2051</v>
      </c>
      <c r="K65" t="s">
        <v>15</v>
      </c>
      <c r="L65" t="str" cm="1">
        <f t="array" ref="L65">IF(SUMPRODUCT(COUNTIF(empresas_filtradas[[#This Row],[cnpj]:[email]],"*"&amp;#REF!&amp;"*"))&gt;0,"sim","não")</f>
        <v>não</v>
      </c>
      <c r="M65" t="s">
        <v>950</v>
      </c>
      <c r="N65" t="str">
        <f>_xlfn.XLOOKUP(empresas_filtradas[[#This Row],[cnpj]], empresas_identificadas_compleme!A:A, empresas_identificadas_compleme!B:B)</f>
        <v>talvez</v>
      </c>
      <c r="O65">
        <f>_xlfn.XLOOKUP(empresas_filtradas[[#This Row],[cnpj]], empresas_identificadas_compleme!A:A, empresas_identificadas_compleme!C:C)</f>
        <v>0</v>
      </c>
    </row>
    <row r="66" spans="1:15" hidden="1" x14ac:dyDescent="0.25">
      <c r="A66">
        <v>331788003487</v>
      </c>
      <c r="B66" t="s">
        <v>38</v>
      </c>
      <c r="C66">
        <v>2</v>
      </c>
      <c r="E66">
        <v>2014200</v>
      </c>
      <c r="F66" t="s">
        <v>16</v>
      </c>
      <c r="G66" t="s">
        <v>26</v>
      </c>
      <c r="H66">
        <v>37905000</v>
      </c>
      <c r="I66" t="s">
        <v>17</v>
      </c>
      <c r="J66">
        <v>4525</v>
      </c>
      <c r="K66" t="s">
        <v>28</v>
      </c>
      <c r="L66" t="str" cm="1">
        <f t="array" ref="L66">IF(SUMPRODUCT(COUNTIF(empresas_filtradas[[#This Row],[cnpj]:[email]],"*"&amp;#REF!&amp;"*"))&gt;0,"sim","não")</f>
        <v>não</v>
      </c>
      <c r="M66" t="s">
        <v>727</v>
      </c>
      <c r="N66" t="str">
        <f>_xlfn.XLOOKUP(empresas_filtradas[[#This Row],[cnpj]], empresas_identificadas_compleme!A:A, empresas_identificadas_compleme!B:B)</f>
        <v>talvez</v>
      </c>
      <c r="O66" t="str">
        <f>_xlfn.XLOOKUP(empresas_filtradas[[#This Row],[cnpj]], empresas_identificadas_compleme!A:A, empresas_identificadas_compleme!C:C)</f>
        <v>CTF_APP</v>
      </c>
    </row>
    <row r="67" spans="1:15" x14ac:dyDescent="0.25">
      <c r="A67">
        <v>3819835000166</v>
      </c>
      <c r="B67" t="s">
        <v>165</v>
      </c>
      <c r="C67">
        <v>2</v>
      </c>
      <c r="E67">
        <v>2014200</v>
      </c>
      <c r="F67" t="s">
        <v>63</v>
      </c>
      <c r="G67" t="s">
        <v>166</v>
      </c>
      <c r="H67">
        <v>76812014</v>
      </c>
      <c r="I67" t="s">
        <v>167</v>
      </c>
      <c r="J67">
        <v>3</v>
      </c>
      <c r="K67" t="s">
        <v>168</v>
      </c>
      <c r="L67" t="str" cm="1">
        <f t="array" ref="L67">IF(SUMPRODUCT(COUNTIF(empresas_filtradas[[#This Row],[cnpj]:[email]],"*"&amp;#REF!&amp;"*"))&gt;0,"sim","não")</f>
        <v>não</v>
      </c>
      <c r="M67" t="s">
        <v>950</v>
      </c>
      <c r="N67" t="str">
        <f>_xlfn.XLOOKUP(empresas_filtradas[[#This Row],[cnpj]], empresas_identificadas_compleme!A:A, empresas_identificadas_compleme!B:B)</f>
        <v>talvez</v>
      </c>
      <c r="O67">
        <f>_xlfn.XLOOKUP(empresas_filtradas[[#This Row],[cnpj]], empresas_identificadas_compleme!A:A, empresas_identificadas_compleme!C:C)</f>
        <v>0</v>
      </c>
    </row>
    <row r="68" spans="1:15" hidden="1" x14ac:dyDescent="0.25">
      <c r="A68" s="1">
        <v>24380578002203</v>
      </c>
      <c r="B68" t="s">
        <v>15</v>
      </c>
      <c r="C68">
        <v>2</v>
      </c>
      <c r="E68">
        <v>2014200</v>
      </c>
      <c r="F68" t="s">
        <v>169</v>
      </c>
      <c r="G68" t="s">
        <v>15</v>
      </c>
      <c r="H68">
        <v>54503410</v>
      </c>
      <c r="I68" t="s">
        <v>92</v>
      </c>
      <c r="J68">
        <v>2357</v>
      </c>
      <c r="K68" t="s">
        <v>33</v>
      </c>
      <c r="L68" t="str" cm="1">
        <f t="array" ref="L68">IF(SUMPRODUCT(COUNTIF(empresas_filtradas[[#This Row],[cnpj]:[email]],"*"&amp;#REF!&amp;"*"))&gt;0,"sim","não")</f>
        <v>não</v>
      </c>
      <c r="M68" t="s">
        <v>728</v>
      </c>
      <c r="N68" t="str">
        <f>_xlfn.XLOOKUP(empresas_filtradas[[#This Row],[cnpj]], empresas_identificadas_compleme!A:A, empresas_identificadas_compleme!B:B)</f>
        <v>talvez</v>
      </c>
      <c r="O68" t="str">
        <f>_xlfn.XLOOKUP(empresas_filtradas[[#This Row],[cnpj]], empresas_identificadas_compleme!A:A, empresas_identificadas_compleme!C:C)</f>
        <v>CTF_APP e 80km</v>
      </c>
    </row>
    <row r="69" spans="1:15" hidden="1" x14ac:dyDescent="0.25">
      <c r="A69" s="1">
        <v>34597955000785</v>
      </c>
      <c r="B69" t="s">
        <v>15</v>
      </c>
      <c r="C69">
        <v>2</v>
      </c>
      <c r="E69">
        <v>2014200</v>
      </c>
      <c r="F69" t="s">
        <v>170</v>
      </c>
      <c r="G69" t="s">
        <v>15</v>
      </c>
      <c r="H69">
        <v>78098280</v>
      </c>
      <c r="I69" t="s">
        <v>23</v>
      </c>
      <c r="J69">
        <v>9067</v>
      </c>
      <c r="K69" t="s">
        <v>33</v>
      </c>
      <c r="L69" t="str" cm="1">
        <f t="array" ref="L69">IF(SUMPRODUCT(COUNTIF(empresas_filtradas[[#This Row],[cnpj]:[email]],"*"&amp;#REF!&amp;"*"))&gt;0,"sim","não")</f>
        <v>não</v>
      </c>
      <c r="M69" t="s">
        <v>727</v>
      </c>
      <c r="N69" t="str">
        <f>_xlfn.XLOOKUP(empresas_filtradas[[#This Row],[cnpj]], empresas_identificadas_compleme!A:A, empresas_identificadas_compleme!B:B)</f>
        <v>talvez</v>
      </c>
      <c r="O69" t="str">
        <f>_xlfn.XLOOKUP(empresas_filtradas[[#This Row],[cnpj]], empresas_identificadas_compleme!A:A, empresas_identificadas_compleme!C:C)</f>
        <v>CTF_APP</v>
      </c>
    </row>
    <row r="70" spans="1:15" hidden="1" x14ac:dyDescent="0.25">
      <c r="A70" s="1">
        <v>34597955001595</v>
      </c>
      <c r="B70" t="s">
        <v>15</v>
      </c>
      <c r="C70">
        <v>2</v>
      </c>
      <c r="E70">
        <v>2014200</v>
      </c>
      <c r="F70" t="s">
        <v>171</v>
      </c>
      <c r="G70" t="s">
        <v>15</v>
      </c>
      <c r="H70">
        <v>76821220</v>
      </c>
      <c r="I70" t="s">
        <v>167</v>
      </c>
      <c r="J70">
        <v>3</v>
      </c>
      <c r="K70" t="s">
        <v>33</v>
      </c>
      <c r="L70" t="str" cm="1">
        <f t="array" ref="L70">IF(SUMPRODUCT(COUNTIF(empresas_filtradas[[#This Row],[cnpj]:[email]],"*"&amp;#REF!&amp;"*"))&gt;0,"sim","não")</f>
        <v>não</v>
      </c>
      <c r="M70" t="s">
        <v>727</v>
      </c>
      <c r="N70" t="str">
        <f>_xlfn.XLOOKUP(empresas_filtradas[[#This Row],[cnpj]], empresas_identificadas_compleme!A:A, empresas_identificadas_compleme!B:B)</f>
        <v>talvez</v>
      </c>
      <c r="O70" t="str">
        <f>_xlfn.XLOOKUP(empresas_filtradas[[#This Row],[cnpj]], empresas_identificadas_compleme!A:A, empresas_identificadas_compleme!C:C)</f>
        <v>CTF_APP</v>
      </c>
    </row>
    <row r="71" spans="1:15" hidden="1" x14ac:dyDescent="0.25">
      <c r="A71" s="1">
        <v>35820448002341</v>
      </c>
      <c r="B71" t="s">
        <v>15</v>
      </c>
      <c r="C71">
        <v>2</v>
      </c>
      <c r="E71">
        <v>2014200</v>
      </c>
      <c r="F71" t="s">
        <v>172</v>
      </c>
      <c r="G71" t="s">
        <v>15</v>
      </c>
      <c r="H71">
        <v>74655030</v>
      </c>
      <c r="I71" t="s">
        <v>173</v>
      </c>
      <c r="J71">
        <v>9373</v>
      </c>
      <c r="K71" t="s">
        <v>33</v>
      </c>
      <c r="L71" t="str" cm="1">
        <f t="array" ref="L71">IF(SUMPRODUCT(COUNTIF(empresas_filtradas[[#This Row],[cnpj]:[email]],"*"&amp;#REF!&amp;"*"))&gt;0,"sim","não")</f>
        <v>não</v>
      </c>
      <c r="M71" t="s">
        <v>727</v>
      </c>
      <c r="N71" t="str">
        <f>_xlfn.XLOOKUP(empresas_filtradas[[#This Row],[cnpj]], empresas_identificadas_compleme!A:A, empresas_identificadas_compleme!B:B)</f>
        <v>talvez</v>
      </c>
      <c r="O71" t="str">
        <f>_xlfn.XLOOKUP(empresas_filtradas[[#This Row],[cnpj]], empresas_identificadas_compleme!A:A, empresas_identificadas_compleme!C:C)</f>
        <v>CTF_APP</v>
      </c>
    </row>
    <row r="72" spans="1:15" hidden="1" x14ac:dyDescent="0.25">
      <c r="A72" s="1">
        <v>35820448009869</v>
      </c>
      <c r="B72" t="s">
        <v>15</v>
      </c>
      <c r="C72">
        <v>2</v>
      </c>
      <c r="E72">
        <v>2014200</v>
      </c>
      <c r="F72" t="s">
        <v>174</v>
      </c>
      <c r="G72" t="s">
        <v>15</v>
      </c>
      <c r="H72">
        <v>9270000</v>
      </c>
      <c r="I72" t="s">
        <v>32</v>
      </c>
      <c r="J72">
        <v>7057</v>
      </c>
      <c r="K72" t="s">
        <v>33</v>
      </c>
      <c r="L72" t="str" cm="1">
        <f t="array" ref="L72">IF(SUMPRODUCT(COUNTIF(empresas_filtradas[[#This Row],[cnpj]:[email]],"*"&amp;#REF!&amp;"*"))&gt;0,"sim","não")</f>
        <v>não</v>
      </c>
      <c r="M72" t="s">
        <v>728</v>
      </c>
      <c r="N72" t="str">
        <f>_xlfn.XLOOKUP(empresas_filtradas[[#This Row],[cnpj]], empresas_identificadas_compleme!A:A, empresas_identificadas_compleme!B:B)</f>
        <v>talvez</v>
      </c>
      <c r="O72" t="str">
        <f>_xlfn.XLOOKUP(empresas_filtradas[[#This Row],[cnpj]], empresas_identificadas_compleme!A:A, empresas_identificadas_compleme!C:C)</f>
        <v>CTF_APP e 80km</v>
      </c>
    </row>
    <row r="73" spans="1:15" hidden="1" x14ac:dyDescent="0.25">
      <c r="A73" s="1">
        <v>35820448010794</v>
      </c>
      <c r="B73" t="s">
        <v>15</v>
      </c>
      <c r="C73">
        <v>2</v>
      </c>
      <c r="E73">
        <v>2014200</v>
      </c>
      <c r="F73" t="s">
        <v>175</v>
      </c>
      <c r="G73" t="s">
        <v>15</v>
      </c>
      <c r="H73">
        <v>89206001</v>
      </c>
      <c r="I73" t="s">
        <v>65</v>
      </c>
      <c r="J73">
        <v>8179</v>
      </c>
      <c r="K73" t="s">
        <v>33</v>
      </c>
      <c r="L73" t="str" cm="1">
        <f t="array" ref="L73">IF(SUMPRODUCT(COUNTIF(empresas_filtradas[[#This Row],[cnpj]:[email]],"*"&amp;#REF!&amp;"*"))&gt;0,"sim","não")</f>
        <v>não</v>
      </c>
      <c r="M73" t="s">
        <v>727</v>
      </c>
      <c r="N73" t="str">
        <f>_xlfn.XLOOKUP(empresas_filtradas[[#This Row],[cnpj]], empresas_identificadas_compleme!A:A, empresas_identificadas_compleme!B:B)</f>
        <v>talvez</v>
      </c>
      <c r="O73" t="str">
        <f>_xlfn.XLOOKUP(empresas_filtradas[[#This Row],[cnpj]], empresas_identificadas_compleme!A:A, empresas_identificadas_compleme!C:C)</f>
        <v>CTF_APP</v>
      </c>
    </row>
    <row r="74" spans="1:15" hidden="1" x14ac:dyDescent="0.25">
      <c r="A74" s="1">
        <v>35820448011766</v>
      </c>
      <c r="B74" t="s">
        <v>15</v>
      </c>
      <c r="C74">
        <v>2</v>
      </c>
      <c r="E74">
        <v>2014200</v>
      </c>
      <c r="F74" t="s">
        <v>16</v>
      </c>
      <c r="G74" t="s">
        <v>15</v>
      </c>
      <c r="H74">
        <v>92420360</v>
      </c>
      <c r="I74" t="s">
        <v>117</v>
      </c>
      <c r="J74">
        <v>8589</v>
      </c>
      <c r="K74" t="s">
        <v>33</v>
      </c>
      <c r="L74" t="str" cm="1">
        <f t="array" ref="L74">IF(SUMPRODUCT(COUNTIF(empresas_filtradas[[#This Row],[cnpj]:[email]],"*"&amp;#REF!&amp;"*"))&gt;0,"sim","não")</f>
        <v>não</v>
      </c>
      <c r="M74" t="s">
        <v>728</v>
      </c>
      <c r="N74" t="str">
        <f>_xlfn.XLOOKUP(empresas_filtradas[[#This Row],[cnpj]], empresas_identificadas_compleme!A:A, empresas_identificadas_compleme!B:B)</f>
        <v>talvez</v>
      </c>
      <c r="O74" t="str">
        <f>_xlfn.XLOOKUP(empresas_filtradas[[#This Row],[cnpj]], empresas_identificadas_compleme!A:A, empresas_identificadas_compleme!C:C)</f>
        <v>CTF_APP e 80km</v>
      </c>
    </row>
    <row r="75" spans="1:15" hidden="1" x14ac:dyDescent="0.25">
      <c r="A75" s="1">
        <v>35820448014277</v>
      </c>
      <c r="B75" t="s">
        <v>15</v>
      </c>
      <c r="C75">
        <v>2</v>
      </c>
      <c r="E75">
        <v>2014200</v>
      </c>
      <c r="F75" t="s">
        <v>176</v>
      </c>
      <c r="G75" t="s">
        <v>177</v>
      </c>
      <c r="H75">
        <v>6230100</v>
      </c>
      <c r="I75" t="s">
        <v>32</v>
      </c>
      <c r="J75">
        <v>6789</v>
      </c>
      <c r="K75" t="s">
        <v>33</v>
      </c>
      <c r="L75" t="str" cm="1">
        <f t="array" ref="L75">IF(SUMPRODUCT(COUNTIF(empresas_filtradas[[#This Row],[cnpj]:[email]],"*"&amp;#REF!&amp;"*"))&gt;0,"sim","não")</f>
        <v>não</v>
      </c>
      <c r="M75" t="s">
        <v>727</v>
      </c>
      <c r="N75" t="str">
        <f>_xlfn.XLOOKUP(empresas_filtradas[[#This Row],[cnpj]], empresas_identificadas_compleme!A:A, empresas_identificadas_compleme!B:B)</f>
        <v>talvez</v>
      </c>
      <c r="O75" t="str">
        <f>_xlfn.XLOOKUP(empresas_filtradas[[#This Row],[cnpj]], empresas_identificadas_compleme!A:A, empresas_identificadas_compleme!C:C)</f>
        <v>80km</v>
      </c>
    </row>
    <row r="76" spans="1:15" hidden="1" x14ac:dyDescent="0.25">
      <c r="A76">
        <v>43843358002132</v>
      </c>
      <c r="B76" t="s">
        <v>15</v>
      </c>
      <c r="C76">
        <v>2</v>
      </c>
      <c r="E76">
        <v>2014200</v>
      </c>
      <c r="F76" t="s">
        <v>16</v>
      </c>
      <c r="G76" t="s">
        <v>178</v>
      </c>
      <c r="H76">
        <v>89240000</v>
      </c>
      <c r="I76" t="s">
        <v>65</v>
      </c>
      <c r="J76">
        <v>8319</v>
      </c>
      <c r="K76" t="s">
        <v>37</v>
      </c>
      <c r="L76" t="str" cm="1">
        <f t="array" ref="L76">IF(SUMPRODUCT(COUNTIF(empresas_filtradas[[#This Row],[cnpj]:[email]],"*"&amp;#REF!&amp;"*"))&gt;0,"sim","não")</f>
        <v>não</v>
      </c>
      <c r="M76" t="s">
        <v>728</v>
      </c>
      <c r="N76" t="str">
        <f>_xlfn.XLOOKUP(empresas_filtradas[[#This Row],[cnpj]], empresas_identificadas_compleme!A:A, empresas_identificadas_compleme!B:B)</f>
        <v>talvez</v>
      </c>
      <c r="O76" t="str">
        <f>_xlfn.XLOOKUP(empresas_filtradas[[#This Row],[cnpj]], empresas_identificadas_compleme!A:A, empresas_identificadas_compleme!C:C)</f>
        <v>CTF_APP</v>
      </c>
    </row>
    <row r="77" spans="1:15" hidden="1" x14ac:dyDescent="0.25">
      <c r="A77">
        <v>67423152000330</v>
      </c>
      <c r="B77" t="s">
        <v>15</v>
      </c>
      <c r="C77">
        <v>2</v>
      </c>
      <c r="E77">
        <v>2014200</v>
      </c>
      <c r="F77" t="s">
        <v>179</v>
      </c>
      <c r="G77" t="s">
        <v>15</v>
      </c>
      <c r="H77">
        <v>12042025</v>
      </c>
      <c r="I77" t="s">
        <v>32</v>
      </c>
      <c r="J77">
        <v>7183</v>
      </c>
      <c r="K77" t="s">
        <v>180</v>
      </c>
      <c r="L77" t="str" cm="1">
        <f t="array" ref="L77">IF(SUMPRODUCT(COUNTIF(empresas_filtradas[[#This Row],[cnpj]:[email]],"*"&amp;#REF!&amp;"*"))&gt;0,"sim","não")</f>
        <v>não</v>
      </c>
      <c r="M77" t="s">
        <v>951</v>
      </c>
      <c r="N77" t="str">
        <f>_xlfn.XLOOKUP(empresas_filtradas[[#This Row],[cnpj]], empresas_identificadas_compleme!A:A, empresas_identificadas_compleme!B:B)</f>
        <v>talvez</v>
      </c>
      <c r="O77" t="str">
        <f>_xlfn.XLOOKUP(empresas_filtradas[[#This Row],[cnpj]], empresas_identificadas_compleme!A:A, empresas_identificadas_compleme!C:C)</f>
        <v>CTF_APP e 80km</v>
      </c>
    </row>
    <row r="78" spans="1:15" x14ac:dyDescent="0.25">
      <c r="A78" s="1">
        <v>73658254000337</v>
      </c>
      <c r="B78" t="s">
        <v>15</v>
      </c>
      <c r="C78">
        <v>2</v>
      </c>
      <c r="E78">
        <v>2014200</v>
      </c>
      <c r="F78" t="s">
        <v>181</v>
      </c>
      <c r="G78" t="s">
        <v>182</v>
      </c>
      <c r="H78">
        <v>22270000</v>
      </c>
      <c r="I78" t="s">
        <v>27</v>
      </c>
      <c r="J78">
        <v>6001</v>
      </c>
      <c r="K78" t="s">
        <v>15</v>
      </c>
      <c r="L78" t="str" cm="1">
        <f t="array" ref="L78">IF(SUMPRODUCT(COUNTIF(empresas_filtradas[[#This Row],[cnpj]:[email]],"*"&amp;#REF!&amp;"*"))&gt;0,"sim","não")</f>
        <v>não</v>
      </c>
      <c r="M78" t="s">
        <v>950</v>
      </c>
      <c r="N78" t="str">
        <f>_xlfn.XLOOKUP(empresas_filtradas[[#This Row],[cnpj]], empresas_identificadas_compleme!A:A, empresas_identificadas_compleme!B:B)</f>
        <v>talvez</v>
      </c>
      <c r="O78" t="str">
        <f>_xlfn.XLOOKUP(empresas_filtradas[[#This Row],[cnpj]], empresas_identificadas_compleme!A:A, empresas_identificadas_compleme!C:C)</f>
        <v>80km</v>
      </c>
    </row>
    <row r="79" spans="1:15" hidden="1" x14ac:dyDescent="0.25">
      <c r="A79">
        <v>60619202000148</v>
      </c>
      <c r="B79" t="s">
        <v>21</v>
      </c>
      <c r="C79">
        <v>2</v>
      </c>
      <c r="E79">
        <v>2014200</v>
      </c>
      <c r="F79" t="s">
        <v>183</v>
      </c>
      <c r="G79" t="s">
        <v>184</v>
      </c>
      <c r="H79">
        <v>6455911</v>
      </c>
      <c r="I79" t="s">
        <v>32</v>
      </c>
      <c r="J79">
        <v>6213</v>
      </c>
      <c r="K79" t="s">
        <v>24</v>
      </c>
      <c r="L79" t="str" cm="1">
        <f t="array" ref="L79">IF(SUMPRODUCT(COUNTIF(empresas_filtradas[[#This Row],[cnpj]:[email]],"*"&amp;#REF!&amp;"*"))&gt;0,"sim","não")</f>
        <v>não</v>
      </c>
      <c r="M79" t="s">
        <v>727</v>
      </c>
      <c r="N79" t="str">
        <f>_xlfn.XLOOKUP(empresas_filtradas[[#This Row],[cnpj]], empresas_identificadas_compleme!A:A, empresas_identificadas_compleme!B:B)</f>
        <v>talvez</v>
      </c>
      <c r="O79" t="str">
        <f>_xlfn.XLOOKUP(empresas_filtradas[[#This Row],[cnpj]], empresas_identificadas_compleme!A:A, empresas_identificadas_compleme!C:C)</f>
        <v>80km</v>
      </c>
    </row>
    <row r="80" spans="1:15" x14ac:dyDescent="0.25">
      <c r="A80">
        <v>63634596000363</v>
      </c>
      <c r="B80" t="s">
        <v>15</v>
      </c>
      <c r="C80">
        <v>2</v>
      </c>
      <c r="E80">
        <v>2014200</v>
      </c>
      <c r="F80" t="s">
        <v>16</v>
      </c>
      <c r="G80" t="s">
        <v>185</v>
      </c>
      <c r="H80">
        <v>66635110</v>
      </c>
      <c r="I80" t="s">
        <v>78</v>
      </c>
      <c r="J80">
        <v>427</v>
      </c>
      <c r="K80" t="s">
        <v>79</v>
      </c>
      <c r="L80" t="str" cm="1">
        <f t="array" ref="L80">IF(SUMPRODUCT(COUNTIF(empresas_filtradas[[#This Row],[cnpj]:[email]],"*"&amp;#REF!&amp;"*"))&gt;0,"sim","não")</f>
        <v>não</v>
      </c>
      <c r="M80" t="s">
        <v>950</v>
      </c>
      <c r="N80" t="str">
        <f>_xlfn.XLOOKUP(empresas_filtradas[[#This Row],[cnpj]], empresas_identificadas_compleme!A:A, empresas_identificadas_compleme!B:B)</f>
        <v>incerto</v>
      </c>
      <c r="O80" t="str">
        <f>_xlfn.XLOOKUP(empresas_filtradas[[#This Row],[cnpj]], empresas_identificadas_compleme!A:A, empresas_identificadas_compleme!C:C)</f>
        <v>CTF_APP e 80km</v>
      </c>
    </row>
    <row r="81" spans="1:15" x14ac:dyDescent="0.25">
      <c r="A81">
        <v>5740526000121</v>
      </c>
      <c r="B81" t="s">
        <v>15</v>
      </c>
      <c r="C81">
        <v>2</v>
      </c>
      <c r="D81">
        <v>23</v>
      </c>
      <c r="E81">
        <v>2014200</v>
      </c>
      <c r="F81" t="s">
        <v>186</v>
      </c>
      <c r="G81" t="s">
        <v>187</v>
      </c>
      <c r="I81" t="s">
        <v>53</v>
      </c>
      <c r="J81">
        <v>9707</v>
      </c>
      <c r="K81" t="s">
        <v>15</v>
      </c>
      <c r="L81" t="str" cm="1">
        <f t="array" ref="L81">IF(SUMPRODUCT(COUNTIF(empresas_filtradas[[#This Row],[cnpj]:[email]],"*"&amp;#REF!&amp;"*"))&gt;0,"sim","não")</f>
        <v>não</v>
      </c>
      <c r="M81" t="s">
        <v>950</v>
      </c>
      <c r="N81" t="str">
        <f>_xlfn.XLOOKUP(empresas_filtradas[[#This Row],[cnpj]], empresas_identificadas_compleme!A:A, empresas_identificadas_compleme!B:B)</f>
        <v>talvez</v>
      </c>
      <c r="O81">
        <f>_xlfn.XLOOKUP(empresas_filtradas[[#This Row],[cnpj]], empresas_identificadas_compleme!A:A, empresas_identificadas_compleme!C:C)</f>
        <v>0</v>
      </c>
    </row>
    <row r="82" spans="1:15" x14ac:dyDescent="0.25">
      <c r="A82">
        <v>1959495000143</v>
      </c>
      <c r="B82" t="s">
        <v>188</v>
      </c>
      <c r="C82">
        <v>2</v>
      </c>
      <c r="E82">
        <v>2014200</v>
      </c>
      <c r="F82" t="s">
        <v>189</v>
      </c>
      <c r="G82" t="s">
        <v>190</v>
      </c>
      <c r="H82">
        <v>89810200</v>
      </c>
      <c r="I82" t="s">
        <v>65</v>
      </c>
      <c r="J82">
        <v>8081</v>
      </c>
      <c r="K82" t="s">
        <v>15</v>
      </c>
      <c r="L82" t="str" cm="1">
        <f t="array" ref="L82">IF(SUMPRODUCT(COUNTIF(empresas_filtradas[[#This Row],[cnpj]:[email]],"*"&amp;#REF!&amp;"*"))&gt;0,"sim","não")</f>
        <v>não</v>
      </c>
      <c r="M82" t="s">
        <v>950</v>
      </c>
      <c r="N82" t="e">
        <f>_xlfn.XLOOKUP(empresas_filtradas[[#This Row],[cnpj]], empresas_identificadas_compleme!A:A, empresas_identificadas_compleme!B:B)</f>
        <v>#N/A</v>
      </c>
      <c r="O82" t="e">
        <f>_xlfn.XLOOKUP(empresas_filtradas[[#This Row],[cnpj]], empresas_identificadas_compleme!A:A, empresas_identificadas_compleme!C:C)</f>
        <v>#N/A</v>
      </c>
    </row>
    <row r="83" spans="1:15" x14ac:dyDescent="0.25">
      <c r="A83">
        <v>4498412000154</v>
      </c>
      <c r="B83" t="s">
        <v>15</v>
      </c>
      <c r="C83">
        <v>2</v>
      </c>
      <c r="E83">
        <v>2014200</v>
      </c>
      <c r="F83" t="s">
        <v>191</v>
      </c>
      <c r="G83" t="s">
        <v>15</v>
      </c>
      <c r="H83">
        <v>12072370</v>
      </c>
      <c r="I83" t="s">
        <v>32</v>
      </c>
      <c r="J83">
        <v>7183</v>
      </c>
      <c r="K83" t="s">
        <v>192</v>
      </c>
      <c r="L83" t="str" cm="1">
        <f t="array" ref="L83">IF(SUMPRODUCT(COUNTIF(empresas_filtradas[[#This Row],[cnpj]:[email]],"*"&amp;#REF!&amp;"*"))&gt;0,"sim","não")</f>
        <v>não</v>
      </c>
      <c r="M83" t="s">
        <v>950</v>
      </c>
      <c r="N83" t="str">
        <f>_xlfn.XLOOKUP(empresas_filtradas[[#This Row],[cnpj]], empresas_identificadas_compleme!A:A, empresas_identificadas_compleme!B:B)</f>
        <v>incerto</v>
      </c>
      <c r="O83" t="str">
        <f>_xlfn.XLOOKUP(empresas_filtradas[[#This Row],[cnpj]], empresas_identificadas_compleme!A:A, empresas_identificadas_compleme!C:C)</f>
        <v>CTF_APP e 80km</v>
      </c>
    </row>
    <row r="84" spans="1:15" hidden="1" x14ac:dyDescent="0.25">
      <c r="A84" s="1">
        <v>35820448005448</v>
      </c>
      <c r="B84" t="s">
        <v>15</v>
      </c>
      <c r="C84">
        <v>2</v>
      </c>
      <c r="E84">
        <v>2014200</v>
      </c>
      <c r="F84" t="s">
        <v>140</v>
      </c>
      <c r="G84" t="s">
        <v>15</v>
      </c>
      <c r="H84">
        <v>86067090</v>
      </c>
      <c r="I84" t="s">
        <v>45</v>
      </c>
      <c r="J84">
        <v>7667</v>
      </c>
      <c r="K84" t="s">
        <v>33</v>
      </c>
      <c r="L84" t="str" cm="1">
        <f t="array" ref="L84">IF(SUMPRODUCT(COUNTIF(empresas_filtradas[[#This Row],[cnpj]:[email]],"*"&amp;#REF!&amp;"*"))&gt;0,"sim","não")</f>
        <v>não</v>
      </c>
      <c r="M84" t="s">
        <v>727</v>
      </c>
      <c r="N84" t="str">
        <f>_xlfn.XLOOKUP(empresas_filtradas[[#This Row],[cnpj]], empresas_identificadas_compleme!A:A, empresas_identificadas_compleme!B:B)</f>
        <v>talvez</v>
      </c>
      <c r="O84" t="str">
        <f>_xlfn.XLOOKUP(empresas_filtradas[[#This Row],[cnpj]], empresas_identificadas_compleme!A:A, empresas_identificadas_compleme!C:C)</f>
        <v>CTF_APP</v>
      </c>
    </row>
    <row r="85" spans="1:15" hidden="1" x14ac:dyDescent="0.25">
      <c r="A85">
        <v>60619202005450</v>
      </c>
      <c r="B85" t="s">
        <v>21</v>
      </c>
      <c r="C85">
        <v>2</v>
      </c>
      <c r="E85">
        <v>2014200</v>
      </c>
      <c r="F85" t="s">
        <v>16</v>
      </c>
      <c r="G85" t="s">
        <v>193</v>
      </c>
      <c r="H85">
        <v>27970020</v>
      </c>
      <c r="I85" t="s">
        <v>27</v>
      </c>
      <c r="J85">
        <v>5847</v>
      </c>
      <c r="K85" t="s">
        <v>24</v>
      </c>
      <c r="L85" t="str" cm="1">
        <f t="array" ref="L85">IF(SUMPRODUCT(COUNTIF(empresas_filtradas[[#This Row],[cnpj]:[email]],"*"&amp;#REF!&amp;"*"))&gt;0,"sim","não")</f>
        <v>não</v>
      </c>
      <c r="M85" t="s">
        <v>728</v>
      </c>
      <c r="N85" t="str">
        <f>_xlfn.XLOOKUP(empresas_filtradas[[#This Row],[cnpj]], empresas_identificadas_compleme!A:A, empresas_identificadas_compleme!B:B)</f>
        <v>talvez</v>
      </c>
      <c r="O85" t="str">
        <f>_xlfn.XLOOKUP(empresas_filtradas[[#This Row],[cnpj]], empresas_identificadas_compleme!A:A, empresas_identificadas_compleme!C:C)</f>
        <v>CTF_APP e 80km</v>
      </c>
    </row>
    <row r="86" spans="1:15" hidden="1" x14ac:dyDescent="0.25">
      <c r="A86">
        <v>331788001603</v>
      </c>
      <c r="B86" t="s">
        <v>15</v>
      </c>
      <c r="C86">
        <v>2</v>
      </c>
      <c r="E86">
        <v>2014200</v>
      </c>
      <c r="F86" t="s">
        <v>194</v>
      </c>
      <c r="G86" t="s">
        <v>195</v>
      </c>
      <c r="H86">
        <v>13069472</v>
      </c>
      <c r="I86" t="s">
        <v>32</v>
      </c>
      <c r="J86">
        <v>6291</v>
      </c>
      <c r="K86" t="s">
        <v>28</v>
      </c>
      <c r="L86" t="str" cm="1">
        <f t="array" ref="L86">IF(SUMPRODUCT(COUNTIF(empresas_filtradas[[#This Row],[cnpj]:[email]],"*"&amp;#REF!&amp;"*"))&gt;0,"sim","não")</f>
        <v>não</v>
      </c>
      <c r="M86" t="s">
        <v>728</v>
      </c>
      <c r="N86" t="str">
        <f>_xlfn.XLOOKUP(empresas_filtradas[[#This Row],[cnpj]], empresas_identificadas_compleme!A:A, empresas_identificadas_compleme!B:B)</f>
        <v>talvez</v>
      </c>
      <c r="O86" t="str">
        <f>_xlfn.XLOOKUP(empresas_filtradas[[#This Row],[cnpj]], empresas_identificadas_compleme!A:A, empresas_identificadas_compleme!C:C)</f>
        <v>CTF_APP e 80km</v>
      </c>
    </row>
    <row r="87" spans="1:15" hidden="1" x14ac:dyDescent="0.25">
      <c r="A87" s="1">
        <v>35820448015591</v>
      </c>
      <c r="B87" t="s">
        <v>15</v>
      </c>
      <c r="C87">
        <v>2</v>
      </c>
      <c r="E87">
        <v>2014200</v>
      </c>
      <c r="F87" t="s">
        <v>196</v>
      </c>
      <c r="G87" t="s">
        <v>197</v>
      </c>
      <c r="H87">
        <v>35160291</v>
      </c>
      <c r="I87" t="s">
        <v>17</v>
      </c>
      <c r="J87">
        <v>4625</v>
      </c>
      <c r="K87" t="s">
        <v>33</v>
      </c>
      <c r="L87" t="str" cm="1">
        <f t="array" ref="L87">IF(SUMPRODUCT(COUNTIF(empresas_filtradas[[#This Row],[cnpj]:[email]],"*"&amp;#REF!&amp;"*"))&gt;0,"sim","não")</f>
        <v>não</v>
      </c>
      <c r="M87" t="s">
        <v>728</v>
      </c>
      <c r="N87" t="str">
        <f>_xlfn.XLOOKUP(empresas_filtradas[[#This Row],[cnpj]], empresas_identificadas_compleme!A:A, empresas_identificadas_compleme!B:B)</f>
        <v>talvez</v>
      </c>
      <c r="O87" t="str">
        <f>_xlfn.XLOOKUP(empresas_filtradas[[#This Row],[cnpj]], empresas_identificadas_compleme!A:A, empresas_identificadas_compleme!C:C)</f>
        <v>CTF_APP e 80km</v>
      </c>
    </row>
    <row r="88" spans="1:15" hidden="1" x14ac:dyDescent="0.25">
      <c r="A88" s="1">
        <v>24380578005300</v>
      </c>
      <c r="B88" t="s">
        <v>119</v>
      </c>
      <c r="C88">
        <v>2</v>
      </c>
      <c r="E88">
        <v>2014200</v>
      </c>
      <c r="F88" t="s">
        <v>196</v>
      </c>
      <c r="G88" t="s">
        <v>198</v>
      </c>
      <c r="H88">
        <v>45930000</v>
      </c>
      <c r="I88" t="s">
        <v>60</v>
      </c>
      <c r="J88">
        <v>3741</v>
      </c>
      <c r="K88" t="s">
        <v>33</v>
      </c>
      <c r="L88" t="str" cm="1">
        <f t="array" ref="L88">IF(SUMPRODUCT(COUNTIF(empresas_filtradas[[#This Row],[cnpj]:[email]],"*"&amp;#REF!&amp;"*"))&gt;0,"sim","não")</f>
        <v>não</v>
      </c>
      <c r="M88" t="s">
        <v>727</v>
      </c>
      <c r="N88" t="str">
        <f>_xlfn.XLOOKUP(empresas_filtradas[[#This Row],[cnpj]], empresas_identificadas_compleme!A:A, empresas_identificadas_compleme!B:B)</f>
        <v>talvez</v>
      </c>
      <c r="O88" t="str">
        <f>_xlfn.XLOOKUP(empresas_filtradas[[#This Row],[cnpj]], empresas_identificadas_compleme!A:A, empresas_identificadas_compleme!C:C)</f>
        <v>CTF_APP</v>
      </c>
    </row>
    <row r="89" spans="1:15" hidden="1" x14ac:dyDescent="0.25">
      <c r="A89">
        <v>331788004882</v>
      </c>
      <c r="B89" t="s">
        <v>15</v>
      </c>
      <c r="C89">
        <v>2</v>
      </c>
      <c r="E89">
        <v>2014200</v>
      </c>
      <c r="F89" t="s">
        <v>199</v>
      </c>
      <c r="G89" t="s">
        <v>156</v>
      </c>
      <c r="H89">
        <v>9015901</v>
      </c>
      <c r="I89" t="s">
        <v>32</v>
      </c>
      <c r="J89">
        <v>7057</v>
      </c>
      <c r="K89" t="s">
        <v>28</v>
      </c>
      <c r="L89" t="str" cm="1">
        <f t="array" ref="L89">IF(SUMPRODUCT(COUNTIF(empresas_filtradas[[#This Row],[cnpj]:[email]],"*"&amp;#REF!&amp;"*"))&gt;0,"sim","não")</f>
        <v>não</v>
      </c>
      <c r="M89" t="s">
        <v>728</v>
      </c>
      <c r="N89" t="str">
        <f>_xlfn.XLOOKUP(empresas_filtradas[[#This Row],[cnpj]], empresas_identificadas_compleme!A:A, empresas_identificadas_compleme!B:B)</f>
        <v>talvez</v>
      </c>
      <c r="O89" t="str">
        <f>_xlfn.XLOOKUP(empresas_filtradas[[#This Row],[cnpj]], empresas_identificadas_compleme!A:A, empresas_identificadas_compleme!C:C)</f>
        <v>CTF_APP e 80km</v>
      </c>
    </row>
    <row r="90" spans="1:15" x14ac:dyDescent="0.25">
      <c r="A90">
        <v>13143803000147</v>
      </c>
      <c r="B90" t="s">
        <v>200</v>
      </c>
      <c r="C90">
        <v>2</v>
      </c>
      <c r="E90">
        <v>2014200</v>
      </c>
      <c r="F90" t="s">
        <v>201</v>
      </c>
      <c r="G90" t="s">
        <v>202</v>
      </c>
      <c r="H90">
        <v>72427010</v>
      </c>
      <c r="I90" t="s">
        <v>40</v>
      </c>
      <c r="J90">
        <v>9701</v>
      </c>
      <c r="K90" t="s">
        <v>15</v>
      </c>
      <c r="L90" t="str" cm="1">
        <f t="array" ref="L90">IF(SUMPRODUCT(COUNTIF(empresas_filtradas[[#This Row],[cnpj]:[email]],"*"&amp;#REF!&amp;"*"))&gt;0,"sim","não")</f>
        <v>não</v>
      </c>
      <c r="M90" t="s">
        <v>950</v>
      </c>
      <c r="N90" t="str">
        <f>_xlfn.XLOOKUP(empresas_filtradas[[#This Row],[cnpj]], empresas_identificadas_compleme!A:A, empresas_identificadas_compleme!B:B)</f>
        <v>talvez</v>
      </c>
      <c r="O90">
        <f>_xlfn.XLOOKUP(empresas_filtradas[[#This Row],[cnpj]], empresas_identificadas_compleme!A:A, empresas_identificadas_compleme!C:C)</f>
        <v>0</v>
      </c>
    </row>
    <row r="91" spans="1:15" x14ac:dyDescent="0.25">
      <c r="A91">
        <v>2555047000228</v>
      </c>
      <c r="B91" t="s">
        <v>203</v>
      </c>
      <c r="C91">
        <v>2</v>
      </c>
      <c r="E91">
        <v>2014200</v>
      </c>
      <c r="F91" t="s">
        <v>164</v>
      </c>
      <c r="G91" t="s">
        <v>15</v>
      </c>
      <c r="H91">
        <v>83604712</v>
      </c>
      <c r="I91" t="s">
        <v>45</v>
      </c>
      <c r="J91">
        <v>7481</v>
      </c>
      <c r="K91" t="s">
        <v>204</v>
      </c>
      <c r="L91" t="str" cm="1">
        <f t="array" ref="L91">IF(SUMPRODUCT(COUNTIF(empresas_filtradas[[#This Row],[cnpj]:[email]],"*"&amp;#REF!&amp;"*"))&gt;0,"sim","não")</f>
        <v>não</v>
      </c>
      <c r="M91" t="s">
        <v>950</v>
      </c>
      <c r="N91" t="str">
        <f>_xlfn.XLOOKUP(empresas_filtradas[[#This Row],[cnpj]], empresas_identificadas_compleme!A:A, empresas_identificadas_compleme!B:B)</f>
        <v>produz_h2</v>
      </c>
      <c r="O91" t="str">
        <f>_xlfn.XLOOKUP(empresas_filtradas[[#This Row],[cnpj]], empresas_identificadas_compleme!A:A, empresas_identificadas_compleme!C:C)</f>
        <v>CTF_APP e 80km</v>
      </c>
    </row>
    <row r="92" spans="1:15" x14ac:dyDescent="0.25">
      <c r="A92">
        <v>15825285000177</v>
      </c>
      <c r="B92" t="s">
        <v>205</v>
      </c>
      <c r="C92">
        <v>2</v>
      </c>
      <c r="E92">
        <v>2014200</v>
      </c>
      <c r="F92" t="s">
        <v>206</v>
      </c>
      <c r="G92" t="s">
        <v>15</v>
      </c>
      <c r="H92">
        <v>23898000</v>
      </c>
      <c r="I92" t="s">
        <v>27</v>
      </c>
      <c r="J92">
        <v>786</v>
      </c>
      <c r="K92" t="s">
        <v>207</v>
      </c>
      <c r="L92" t="str" cm="1">
        <f t="array" ref="L92">IF(SUMPRODUCT(COUNTIF(empresas_filtradas[[#This Row],[cnpj]:[email]],"*"&amp;#REF!&amp;"*"))&gt;0,"sim","não")</f>
        <v>não</v>
      </c>
      <c r="M92" t="s">
        <v>950</v>
      </c>
      <c r="N92" t="e">
        <f>_xlfn.XLOOKUP(empresas_filtradas[[#This Row],[cnpj]], empresas_identificadas_compleme!A:A, empresas_identificadas_compleme!B:B)</f>
        <v>#N/A</v>
      </c>
      <c r="O92" t="e">
        <f>_xlfn.XLOOKUP(empresas_filtradas[[#This Row],[cnpj]], empresas_identificadas_compleme!A:A, empresas_identificadas_compleme!C:C)</f>
        <v>#N/A</v>
      </c>
    </row>
    <row r="93" spans="1:15" x14ac:dyDescent="0.25">
      <c r="A93" s="1">
        <v>17415984000174</v>
      </c>
      <c r="B93" t="s">
        <v>208</v>
      </c>
      <c r="C93">
        <v>2</v>
      </c>
      <c r="E93">
        <v>2014200</v>
      </c>
      <c r="F93" t="s">
        <v>209</v>
      </c>
      <c r="G93" t="s">
        <v>15</v>
      </c>
      <c r="H93">
        <v>13273202</v>
      </c>
      <c r="I93" t="s">
        <v>32</v>
      </c>
      <c r="J93">
        <v>7225</v>
      </c>
      <c r="K93" t="s">
        <v>210</v>
      </c>
      <c r="L93" t="str" cm="1">
        <f t="array" ref="L93">IF(SUMPRODUCT(COUNTIF(empresas_filtradas[[#This Row],[cnpj]:[email]],"*"&amp;#REF!&amp;"*"))&gt;0,"sim","não")</f>
        <v>não</v>
      </c>
      <c r="M93" t="s">
        <v>950</v>
      </c>
      <c r="N93" t="str">
        <f>_xlfn.XLOOKUP(empresas_filtradas[[#This Row],[cnpj]], empresas_identificadas_compleme!A:A, empresas_identificadas_compleme!B:B)</f>
        <v>talvez</v>
      </c>
      <c r="O93" t="str">
        <f>_xlfn.XLOOKUP(empresas_filtradas[[#This Row],[cnpj]], empresas_identificadas_compleme!A:A, empresas_identificadas_compleme!C:C)</f>
        <v>80km</v>
      </c>
    </row>
    <row r="94" spans="1:15" x14ac:dyDescent="0.25">
      <c r="A94" s="1">
        <v>8272654000186</v>
      </c>
      <c r="B94" t="s">
        <v>211</v>
      </c>
      <c r="C94">
        <v>2</v>
      </c>
      <c r="E94">
        <v>2014200</v>
      </c>
      <c r="F94" t="s">
        <v>212</v>
      </c>
      <c r="G94" t="s">
        <v>15</v>
      </c>
      <c r="H94">
        <v>35660970</v>
      </c>
      <c r="I94" t="s">
        <v>17</v>
      </c>
      <c r="J94">
        <v>4941</v>
      </c>
      <c r="K94" t="s">
        <v>213</v>
      </c>
      <c r="L94" t="str" cm="1">
        <f t="array" ref="L94">IF(SUMPRODUCT(COUNTIF(empresas_filtradas[[#This Row],[cnpj]:[email]],"*"&amp;#REF!&amp;"*"))&gt;0,"sim","não")</f>
        <v>não</v>
      </c>
      <c r="M94" t="s">
        <v>950</v>
      </c>
      <c r="N94" t="str">
        <f>_xlfn.XLOOKUP(empresas_filtradas[[#This Row],[cnpj]], empresas_identificadas_compleme!A:A, empresas_identificadas_compleme!B:B)</f>
        <v>talvez</v>
      </c>
      <c r="O94" t="str">
        <f>_xlfn.XLOOKUP(empresas_filtradas[[#This Row],[cnpj]], empresas_identificadas_compleme!A:A, empresas_identificadas_compleme!C:C)</f>
        <v>80km</v>
      </c>
    </row>
    <row r="95" spans="1:15" x14ac:dyDescent="0.25">
      <c r="A95" s="1">
        <v>17352435000106</v>
      </c>
      <c r="B95" t="s">
        <v>15</v>
      </c>
      <c r="C95">
        <v>2</v>
      </c>
      <c r="E95">
        <v>2014200</v>
      </c>
      <c r="F95" t="s">
        <v>16</v>
      </c>
      <c r="G95" t="s">
        <v>214</v>
      </c>
      <c r="H95">
        <v>24858088</v>
      </c>
      <c r="I95" t="s">
        <v>27</v>
      </c>
      <c r="J95">
        <v>5837</v>
      </c>
      <c r="K95" t="s">
        <v>215</v>
      </c>
      <c r="L95" t="str" cm="1">
        <f t="array" ref="L95">IF(SUMPRODUCT(COUNTIF(empresas_filtradas[[#This Row],[cnpj]:[email]],"*"&amp;#REF!&amp;"*"))&gt;0,"sim","não")</f>
        <v>não</v>
      </c>
      <c r="M95" t="s">
        <v>950</v>
      </c>
      <c r="N95" t="str">
        <f>_xlfn.XLOOKUP(empresas_filtradas[[#This Row],[cnpj]], empresas_identificadas_compleme!A:A, empresas_identificadas_compleme!B:B)</f>
        <v>talvez</v>
      </c>
      <c r="O95" t="str">
        <f>_xlfn.XLOOKUP(empresas_filtradas[[#This Row],[cnpj]], empresas_identificadas_compleme!A:A, empresas_identificadas_compleme!C:C)</f>
        <v>80km</v>
      </c>
    </row>
    <row r="96" spans="1:15" hidden="1" x14ac:dyDescent="0.25">
      <c r="A96" s="1">
        <v>18835198000199</v>
      </c>
      <c r="B96" t="s">
        <v>15</v>
      </c>
      <c r="C96">
        <v>2</v>
      </c>
      <c r="E96">
        <v>2014200</v>
      </c>
      <c r="F96" t="s">
        <v>216</v>
      </c>
      <c r="G96" t="s">
        <v>15</v>
      </c>
      <c r="H96">
        <v>7231060</v>
      </c>
      <c r="I96" t="s">
        <v>32</v>
      </c>
      <c r="J96">
        <v>6477</v>
      </c>
      <c r="K96" t="s">
        <v>217</v>
      </c>
      <c r="L96" t="str" cm="1">
        <f t="array" ref="L96">IF(SUMPRODUCT(COUNTIF(empresas_filtradas[[#This Row],[cnpj]:[email]],"*"&amp;#REF!&amp;"*"))&gt;0,"sim","não")</f>
        <v>não</v>
      </c>
      <c r="M96" t="s">
        <v>951</v>
      </c>
      <c r="N96" t="str">
        <f>_xlfn.XLOOKUP(empresas_filtradas[[#This Row],[cnpj]], empresas_identificadas_compleme!A:A, empresas_identificadas_compleme!B:B)</f>
        <v>talvez</v>
      </c>
      <c r="O96" t="str">
        <f>_xlfn.XLOOKUP(empresas_filtradas[[#This Row],[cnpj]], empresas_identificadas_compleme!A:A, empresas_identificadas_compleme!C:C)</f>
        <v>80km</v>
      </c>
    </row>
    <row r="97" spans="1:15" x14ac:dyDescent="0.25">
      <c r="A97" s="1">
        <v>36014591000101</v>
      </c>
      <c r="B97" t="s">
        <v>218</v>
      </c>
      <c r="C97">
        <v>2</v>
      </c>
      <c r="E97">
        <v>2014200</v>
      </c>
      <c r="F97" t="s">
        <v>219</v>
      </c>
      <c r="G97" t="s">
        <v>220</v>
      </c>
      <c r="H97">
        <v>29197613</v>
      </c>
      <c r="I97" t="s">
        <v>49</v>
      </c>
      <c r="J97">
        <v>5611</v>
      </c>
      <c r="K97" t="s">
        <v>221</v>
      </c>
      <c r="L97" t="str" cm="1">
        <f t="array" ref="L97">IF(SUMPRODUCT(COUNTIF(empresas_filtradas[[#This Row],[cnpj]:[email]],"*"&amp;#REF!&amp;"*"))&gt;0,"sim","não")</f>
        <v>não</v>
      </c>
      <c r="M97" t="s">
        <v>950</v>
      </c>
      <c r="N97" t="str">
        <f>_xlfn.XLOOKUP(empresas_filtradas[[#This Row],[cnpj]], empresas_identificadas_compleme!A:A, empresas_identificadas_compleme!B:B)</f>
        <v>talvez</v>
      </c>
      <c r="O97" t="str">
        <f>_xlfn.XLOOKUP(empresas_filtradas[[#This Row],[cnpj]], empresas_identificadas_compleme!A:A, empresas_identificadas_compleme!C:C)</f>
        <v>80km</v>
      </c>
    </row>
    <row r="98" spans="1:15" x14ac:dyDescent="0.25">
      <c r="A98">
        <v>39230647000145</v>
      </c>
      <c r="B98" t="s">
        <v>222</v>
      </c>
      <c r="C98">
        <v>2</v>
      </c>
      <c r="E98">
        <v>2014200</v>
      </c>
      <c r="F98" t="s">
        <v>223</v>
      </c>
      <c r="G98" t="s">
        <v>15</v>
      </c>
      <c r="H98">
        <v>27933377</v>
      </c>
      <c r="I98" t="s">
        <v>27</v>
      </c>
      <c r="J98">
        <v>5847</v>
      </c>
      <c r="K98" t="s">
        <v>15</v>
      </c>
      <c r="L98" t="str" cm="1">
        <f t="array" ref="L98">IF(SUMPRODUCT(COUNTIF(empresas_filtradas[[#This Row],[cnpj]:[email]],"*"&amp;#REF!&amp;"*"))&gt;0,"sim","não")</f>
        <v>não</v>
      </c>
      <c r="M98" t="s">
        <v>950</v>
      </c>
      <c r="N98" t="str">
        <f>_xlfn.XLOOKUP(empresas_filtradas[[#This Row],[cnpj]], empresas_identificadas_compleme!A:A, empresas_identificadas_compleme!B:B)</f>
        <v>incerto</v>
      </c>
      <c r="O98" t="str">
        <f>_xlfn.XLOOKUP(empresas_filtradas[[#This Row],[cnpj]], empresas_identificadas_compleme!A:A, empresas_identificadas_compleme!C:C)</f>
        <v>80km</v>
      </c>
    </row>
    <row r="99" spans="1:15" hidden="1" x14ac:dyDescent="0.25">
      <c r="A99">
        <v>74481011000762</v>
      </c>
      <c r="B99" t="s">
        <v>153</v>
      </c>
      <c r="C99">
        <v>2</v>
      </c>
      <c r="E99">
        <v>2014200</v>
      </c>
      <c r="F99" t="s">
        <v>224</v>
      </c>
      <c r="G99" t="s">
        <v>15</v>
      </c>
      <c r="H99">
        <v>88390000</v>
      </c>
      <c r="I99" t="s">
        <v>65</v>
      </c>
      <c r="J99">
        <v>8041</v>
      </c>
      <c r="K99" t="s">
        <v>155</v>
      </c>
      <c r="L99" t="str" cm="1">
        <f t="array" ref="L99">IF(SUMPRODUCT(COUNTIF(empresas_filtradas[[#This Row],[cnpj]:[email]],"*"&amp;#REF!&amp;"*"))&gt;0,"sim","não")</f>
        <v>não</v>
      </c>
      <c r="M99" t="s">
        <v>951</v>
      </c>
      <c r="N99" t="str">
        <f>_xlfn.XLOOKUP(empresas_filtradas[[#This Row],[cnpj]], empresas_identificadas_compleme!A:A, empresas_identificadas_compleme!B:B)</f>
        <v>talvez</v>
      </c>
      <c r="O99" t="str">
        <f>_xlfn.XLOOKUP(empresas_filtradas[[#This Row],[cnpj]], empresas_identificadas_compleme!A:A, empresas_identificadas_compleme!C:C)</f>
        <v>CTF_APP</v>
      </c>
    </row>
    <row r="100" spans="1:15" x14ac:dyDescent="0.25">
      <c r="A100">
        <v>47050403000109</v>
      </c>
      <c r="B100" t="s">
        <v>225</v>
      </c>
      <c r="C100">
        <v>2</v>
      </c>
      <c r="E100">
        <v>2014200</v>
      </c>
      <c r="F100" t="s">
        <v>226</v>
      </c>
      <c r="G100" t="s">
        <v>15</v>
      </c>
      <c r="H100">
        <v>9060650</v>
      </c>
      <c r="I100" t="s">
        <v>32</v>
      </c>
      <c r="J100">
        <v>7057</v>
      </c>
      <c r="K100" t="s">
        <v>227</v>
      </c>
      <c r="L100" t="str" cm="1">
        <f t="array" ref="L100">IF(SUMPRODUCT(COUNTIF(empresas_filtradas[[#This Row],[cnpj]:[email]],"*"&amp;#REF!&amp;"*"))&gt;0,"sim","não")</f>
        <v>não</v>
      </c>
      <c r="M100" t="s">
        <v>950</v>
      </c>
      <c r="N100" t="str">
        <f>_xlfn.XLOOKUP(empresas_filtradas[[#This Row],[cnpj]], empresas_identificadas_compleme!A:A, empresas_identificadas_compleme!B:B)</f>
        <v>talvez</v>
      </c>
      <c r="O100" t="str">
        <f>_xlfn.XLOOKUP(empresas_filtradas[[#This Row],[cnpj]], empresas_identificadas_compleme!A:A, empresas_identificadas_compleme!C:C)</f>
        <v>CTF_APP e 80km</v>
      </c>
    </row>
    <row r="101" spans="1:15" x14ac:dyDescent="0.25">
      <c r="A101">
        <v>48754769000121</v>
      </c>
      <c r="B101" t="s">
        <v>15</v>
      </c>
      <c r="C101">
        <v>2</v>
      </c>
      <c r="E101">
        <v>2014200</v>
      </c>
      <c r="F101" t="s">
        <v>228</v>
      </c>
      <c r="G101" t="s">
        <v>15</v>
      </c>
      <c r="H101">
        <v>2281110</v>
      </c>
      <c r="I101" t="s">
        <v>32</v>
      </c>
      <c r="J101">
        <v>7107</v>
      </c>
      <c r="K101" t="s">
        <v>229</v>
      </c>
      <c r="L101" t="str" cm="1">
        <f t="array" ref="L101">IF(SUMPRODUCT(COUNTIF(empresas_filtradas[[#This Row],[cnpj]:[email]],"*"&amp;#REF!&amp;"*"))&gt;0,"sim","não")</f>
        <v>não</v>
      </c>
      <c r="M101" t="s">
        <v>950</v>
      </c>
      <c r="N101" t="str">
        <f>_xlfn.XLOOKUP(empresas_filtradas[[#This Row],[cnpj]], empresas_identificadas_compleme!A:A, empresas_identificadas_compleme!B:B)</f>
        <v>incerto</v>
      </c>
      <c r="O101" t="str">
        <f>_xlfn.XLOOKUP(empresas_filtradas[[#This Row],[cnpj]], empresas_identificadas_compleme!A:A, empresas_identificadas_compleme!C:C)</f>
        <v>80km</v>
      </c>
    </row>
    <row r="102" spans="1:15" x14ac:dyDescent="0.25">
      <c r="A102">
        <v>9043891000219</v>
      </c>
      <c r="B102" t="s">
        <v>157</v>
      </c>
      <c r="C102">
        <v>2</v>
      </c>
      <c r="E102">
        <v>2014200</v>
      </c>
      <c r="F102" t="s">
        <v>16</v>
      </c>
      <c r="G102" t="s">
        <v>15</v>
      </c>
      <c r="H102">
        <v>55616899</v>
      </c>
      <c r="I102" t="s">
        <v>92</v>
      </c>
      <c r="J102">
        <v>2627</v>
      </c>
      <c r="K102" t="s">
        <v>160</v>
      </c>
      <c r="L102" t="str" cm="1">
        <f t="array" ref="L102">IF(SUMPRODUCT(COUNTIF(empresas_filtradas[[#This Row],[cnpj]:[email]],"*"&amp;#REF!&amp;"*"))&gt;0,"sim","não")</f>
        <v>não</v>
      </c>
      <c r="M102" t="s">
        <v>950</v>
      </c>
      <c r="N102" t="str">
        <f>_xlfn.XLOOKUP(empresas_filtradas[[#This Row],[cnpj]], empresas_identificadas_compleme!A:A, empresas_identificadas_compleme!B:B)</f>
        <v>talvez</v>
      </c>
      <c r="O102" t="str">
        <f>_xlfn.XLOOKUP(empresas_filtradas[[#This Row],[cnpj]], empresas_identificadas_compleme!A:A, empresas_identificadas_compleme!C:C)</f>
        <v>CTF_APP e 80km</v>
      </c>
    </row>
    <row r="103" spans="1:15" x14ac:dyDescent="0.25">
      <c r="A103">
        <v>59946751000148</v>
      </c>
      <c r="B103" t="s">
        <v>15</v>
      </c>
      <c r="C103">
        <v>2</v>
      </c>
      <c r="E103">
        <v>2014200</v>
      </c>
      <c r="F103" t="s">
        <v>230</v>
      </c>
      <c r="G103" t="s">
        <v>15</v>
      </c>
      <c r="H103">
        <v>13630010</v>
      </c>
      <c r="I103" t="s">
        <v>32</v>
      </c>
      <c r="J103">
        <v>6887</v>
      </c>
      <c r="K103" t="s">
        <v>231</v>
      </c>
      <c r="L103" t="str" cm="1">
        <f t="array" ref="L103">IF(SUMPRODUCT(COUNTIF(empresas_filtradas[[#This Row],[cnpj]:[email]],"*"&amp;#REF!&amp;"*"))&gt;0,"sim","não")</f>
        <v>não</v>
      </c>
      <c r="M103" t="s">
        <v>950</v>
      </c>
      <c r="N103" t="str">
        <f>_xlfn.XLOOKUP(empresas_filtradas[[#This Row],[cnpj]], empresas_identificadas_compleme!A:A, empresas_identificadas_compleme!B:B)</f>
        <v>incerto</v>
      </c>
      <c r="O103">
        <f>_xlfn.XLOOKUP(empresas_filtradas[[#This Row],[cnpj]], empresas_identificadas_compleme!A:A, empresas_identificadas_compleme!C:C)</f>
        <v>0</v>
      </c>
    </row>
    <row r="104" spans="1:15" x14ac:dyDescent="0.25">
      <c r="A104">
        <v>58499309000158</v>
      </c>
      <c r="B104" t="s">
        <v>15</v>
      </c>
      <c r="C104">
        <v>2</v>
      </c>
      <c r="D104">
        <v>105</v>
      </c>
      <c r="E104">
        <v>2014200</v>
      </c>
      <c r="F104" t="s">
        <v>232</v>
      </c>
      <c r="G104" t="s">
        <v>15</v>
      </c>
      <c r="H104">
        <v>61814899</v>
      </c>
      <c r="I104" t="s">
        <v>108</v>
      </c>
      <c r="J104">
        <v>1495</v>
      </c>
      <c r="K104" t="s">
        <v>233</v>
      </c>
      <c r="L104" t="str" cm="1">
        <f t="array" ref="L104">IF(SUMPRODUCT(COUNTIF(empresas_filtradas[[#This Row],[cnpj]:[email]],"*"&amp;#REF!&amp;"*"))&gt;0,"sim","não")</f>
        <v>não</v>
      </c>
      <c r="M104" t="s">
        <v>950</v>
      </c>
      <c r="N104" t="e">
        <f>_xlfn.XLOOKUP(empresas_filtradas[[#This Row],[cnpj]], empresas_identificadas_compleme!A:A, empresas_identificadas_compleme!B:B)</f>
        <v>#N/A</v>
      </c>
      <c r="O104" t="e">
        <f>_xlfn.XLOOKUP(empresas_filtradas[[#This Row],[cnpj]], empresas_identificadas_compleme!A:A, empresas_identificadas_compleme!C:C)</f>
        <v>#N/A</v>
      </c>
    </row>
    <row r="105" spans="1:15" x14ac:dyDescent="0.25">
      <c r="A105">
        <v>22298504000253</v>
      </c>
      <c r="B105" t="s">
        <v>234</v>
      </c>
      <c r="C105">
        <v>2</v>
      </c>
      <c r="E105">
        <v>2014200</v>
      </c>
      <c r="F105" t="s">
        <v>235</v>
      </c>
      <c r="G105" t="s">
        <v>15</v>
      </c>
      <c r="H105">
        <v>68902863</v>
      </c>
      <c r="I105" t="s">
        <v>236</v>
      </c>
      <c r="J105">
        <v>605</v>
      </c>
      <c r="K105" t="s">
        <v>237</v>
      </c>
      <c r="L105" t="str" cm="1">
        <f t="array" ref="L105">IF(SUMPRODUCT(COUNTIF(empresas_filtradas[[#This Row],[cnpj]:[email]],"*"&amp;#REF!&amp;"*"))&gt;0,"sim","não")</f>
        <v>não</v>
      </c>
      <c r="M105" t="s">
        <v>950</v>
      </c>
      <c r="N105" t="str">
        <f>_xlfn.XLOOKUP(empresas_filtradas[[#This Row],[cnpj]], empresas_identificadas_compleme!A:A, empresas_identificadas_compleme!B:B)</f>
        <v>talvez</v>
      </c>
      <c r="O105">
        <f>_xlfn.XLOOKUP(empresas_filtradas[[#This Row],[cnpj]], empresas_identificadas_compleme!A:A, empresas_identificadas_compleme!C:C)</f>
        <v>0</v>
      </c>
    </row>
    <row r="106" spans="1:15" hidden="1" x14ac:dyDescent="0.25">
      <c r="A106">
        <v>331788001786</v>
      </c>
      <c r="B106" t="s">
        <v>15</v>
      </c>
      <c r="C106">
        <v>2</v>
      </c>
      <c r="E106">
        <v>2014200</v>
      </c>
      <c r="F106" t="s">
        <v>16</v>
      </c>
      <c r="G106" t="s">
        <v>15</v>
      </c>
      <c r="H106">
        <v>13140031</v>
      </c>
      <c r="I106" t="s">
        <v>32</v>
      </c>
      <c r="J106">
        <v>6831</v>
      </c>
      <c r="K106" t="s">
        <v>28</v>
      </c>
      <c r="L106" t="str" cm="1">
        <f t="array" ref="L106">IF(SUMPRODUCT(COUNTIF(empresas_filtradas[[#This Row],[cnpj]:[email]],"*"&amp;#REF!&amp;"*"))&gt;0,"sim","não")</f>
        <v>não</v>
      </c>
      <c r="M106" t="s">
        <v>726</v>
      </c>
      <c r="N106" t="str">
        <f>_xlfn.XLOOKUP(empresas_filtradas[[#This Row],[cnpj]], empresas_identificadas_compleme!A:A, empresas_identificadas_compleme!B:B)</f>
        <v>talvez</v>
      </c>
      <c r="O106" t="str">
        <f>_xlfn.XLOOKUP(empresas_filtradas[[#This Row],[cnpj]], empresas_identificadas_compleme!A:A, empresas_identificadas_compleme!C:C)</f>
        <v>CTF_APP e 80km</v>
      </c>
    </row>
    <row r="107" spans="1:15" x14ac:dyDescent="0.25">
      <c r="A107">
        <v>1920296000121</v>
      </c>
      <c r="B107" t="s">
        <v>238</v>
      </c>
      <c r="C107">
        <v>2</v>
      </c>
      <c r="E107">
        <v>2014200</v>
      </c>
      <c r="F107" t="s">
        <v>239</v>
      </c>
      <c r="G107" t="s">
        <v>240</v>
      </c>
      <c r="H107">
        <v>78895300</v>
      </c>
      <c r="I107" t="s">
        <v>23</v>
      </c>
      <c r="J107">
        <v>9907</v>
      </c>
      <c r="K107" t="s">
        <v>241</v>
      </c>
      <c r="L107" t="str" cm="1">
        <f t="array" ref="L107">IF(SUMPRODUCT(COUNTIF(empresas_filtradas[[#This Row],[cnpj]:[email]],"*"&amp;#REF!&amp;"*"))&gt;0,"sim","não")</f>
        <v>não</v>
      </c>
      <c r="M107" t="s">
        <v>950</v>
      </c>
      <c r="N107" t="str">
        <f>_xlfn.XLOOKUP(empresas_filtradas[[#This Row],[cnpj]], empresas_identificadas_compleme!A:A, empresas_identificadas_compleme!B:B)</f>
        <v>incerto</v>
      </c>
      <c r="O107">
        <f>_xlfn.XLOOKUP(empresas_filtradas[[#This Row],[cnpj]], empresas_identificadas_compleme!A:A, empresas_identificadas_compleme!C:C)</f>
        <v>0</v>
      </c>
    </row>
    <row r="108" spans="1:15" hidden="1" x14ac:dyDescent="0.25">
      <c r="A108">
        <v>331788003134</v>
      </c>
      <c r="B108" t="s">
        <v>38</v>
      </c>
      <c r="C108">
        <v>2</v>
      </c>
      <c r="E108">
        <v>2014200</v>
      </c>
      <c r="F108" t="s">
        <v>90</v>
      </c>
      <c r="G108" t="s">
        <v>15</v>
      </c>
      <c r="H108">
        <v>32250010</v>
      </c>
      <c r="I108" t="s">
        <v>17</v>
      </c>
      <c r="J108">
        <v>4371</v>
      </c>
      <c r="K108" t="s">
        <v>28</v>
      </c>
      <c r="L108" t="str" cm="1">
        <f t="array" ref="L108">IF(SUMPRODUCT(COUNTIF(empresas_filtradas[[#This Row],[cnpj]:[email]],"*"&amp;#REF!&amp;"*"))&gt;0,"sim","não")</f>
        <v>não</v>
      </c>
      <c r="M108" t="s">
        <v>728</v>
      </c>
      <c r="N108" t="str">
        <f>_xlfn.XLOOKUP(empresas_filtradas[[#This Row],[cnpj]], empresas_identificadas_compleme!A:A, empresas_identificadas_compleme!B:B)</f>
        <v>talvez</v>
      </c>
      <c r="O108" t="str">
        <f>_xlfn.XLOOKUP(empresas_filtradas[[#This Row],[cnpj]], empresas_identificadas_compleme!A:A, empresas_identificadas_compleme!C:C)</f>
        <v>CTF_APP e 80km</v>
      </c>
    </row>
    <row r="109" spans="1:15" hidden="1" x14ac:dyDescent="0.25">
      <c r="A109" s="1">
        <v>24380578002475</v>
      </c>
      <c r="B109" t="s">
        <v>15</v>
      </c>
      <c r="C109">
        <v>2</v>
      </c>
      <c r="E109">
        <v>2014200</v>
      </c>
      <c r="F109" t="s">
        <v>242</v>
      </c>
      <c r="G109" t="s">
        <v>243</v>
      </c>
      <c r="H109">
        <v>64027462</v>
      </c>
      <c r="I109" t="s">
        <v>87</v>
      </c>
      <c r="J109">
        <v>1219</v>
      </c>
      <c r="K109" t="s">
        <v>33</v>
      </c>
      <c r="L109" t="str" cm="1">
        <f t="array" ref="L109">IF(SUMPRODUCT(COUNTIF(empresas_filtradas[[#This Row],[cnpj]:[email]],"*"&amp;#REF!&amp;"*"))&gt;0,"sim","não")</f>
        <v>não</v>
      </c>
      <c r="M109" t="s">
        <v>727</v>
      </c>
      <c r="N109" t="str">
        <f>_xlfn.XLOOKUP(empresas_filtradas[[#This Row],[cnpj]], empresas_identificadas_compleme!A:A, empresas_identificadas_compleme!B:B)</f>
        <v>talvez</v>
      </c>
      <c r="O109" t="str">
        <f>_xlfn.XLOOKUP(empresas_filtradas[[#This Row],[cnpj]], empresas_identificadas_compleme!A:A, empresas_identificadas_compleme!C:C)</f>
        <v>CTF_APP</v>
      </c>
    </row>
    <row r="110" spans="1:15" hidden="1" x14ac:dyDescent="0.25">
      <c r="A110">
        <v>24380578004338</v>
      </c>
      <c r="B110" t="s">
        <v>244</v>
      </c>
      <c r="C110">
        <v>2</v>
      </c>
      <c r="E110">
        <v>2014200</v>
      </c>
      <c r="F110" t="s">
        <v>245</v>
      </c>
      <c r="G110" t="s">
        <v>156</v>
      </c>
      <c r="H110">
        <v>42816180</v>
      </c>
      <c r="I110" t="s">
        <v>60</v>
      </c>
      <c r="J110">
        <v>3413</v>
      </c>
      <c r="K110" t="s">
        <v>33</v>
      </c>
      <c r="L110" t="str" cm="1">
        <f t="array" ref="L110">IF(SUMPRODUCT(COUNTIF(empresas_filtradas[[#This Row],[cnpj]:[email]],"*"&amp;#REF!&amp;"*"))&gt;0,"sim","não")</f>
        <v>não</v>
      </c>
      <c r="M110" t="s">
        <v>728</v>
      </c>
      <c r="N110" t="str">
        <f>_xlfn.XLOOKUP(empresas_filtradas[[#This Row],[cnpj]], empresas_identificadas_compleme!A:A, empresas_identificadas_compleme!B:B)</f>
        <v>talvez</v>
      </c>
      <c r="O110" t="str">
        <f>_xlfn.XLOOKUP(empresas_filtradas[[#This Row],[cnpj]], empresas_identificadas_compleme!A:A, empresas_identificadas_compleme!C:C)</f>
        <v>CTF_APP e 80km</v>
      </c>
    </row>
    <row r="111" spans="1:15" hidden="1" x14ac:dyDescent="0.25">
      <c r="A111">
        <v>34597955001242</v>
      </c>
      <c r="B111" t="s">
        <v>15</v>
      </c>
      <c r="C111">
        <v>2</v>
      </c>
      <c r="E111">
        <v>2014200</v>
      </c>
      <c r="F111" t="s">
        <v>16</v>
      </c>
      <c r="G111" t="s">
        <v>246</v>
      </c>
      <c r="H111">
        <v>68508020</v>
      </c>
      <c r="I111" t="s">
        <v>78</v>
      </c>
      <c r="J111">
        <v>483</v>
      </c>
      <c r="K111" t="s">
        <v>247</v>
      </c>
      <c r="L111" t="str" cm="1">
        <f t="array" ref="L111">IF(SUMPRODUCT(COUNTIF(empresas_filtradas[[#This Row],[cnpj]:[email]],"*"&amp;#REF!&amp;"*"))&gt;0,"sim","não")</f>
        <v>não</v>
      </c>
      <c r="M111" t="s">
        <v>727</v>
      </c>
      <c r="N111" t="str">
        <f>_xlfn.XLOOKUP(empresas_filtradas[[#This Row],[cnpj]], empresas_identificadas_compleme!A:A, empresas_identificadas_compleme!B:B)</f>
        <v>talvez</v>
      </c>
      <c r="O111" t="str">
        <f>_xlfn.XLOOKUP(empresas_filtradas[[#This Row],[cnpj]], empresas_identificadas_compleme!A:A, empresas_identificadas_compleme!C:C)</f>
        <v>CTF_APP</v>
      </c>
    </row>
    <row r="112" spans="1:15" hidden="1" x14ac:dyDescent="0.25">
      <c r="A112">
        <v>35820448004638</v>
      </c>
      <c r="B112" t="s">
        <v>15</v>
      </c>
      <c r="C112">
        <v>2</v>
      </c>
      <c r="E112">
        <v>2014200</v>
      </c>
      <c r="F112" t="s">
        <v>111</v>
      </c>
      <c r="G112" t="s">
        <v>248</v>
      </c>
      <c r="H112">
        <v>36092901</v>
      </c>
      <c r="I112" t="s">
        <v>17</v>
      </c>
      <c r="J112">
        <v>4733</v>
      </c>
      <c r="K112" t="s">
        <v>249</v>
      </c>
      <c r="L112" t="str" cm="1">
        <f t="array" ref="L112">IF(SUMPRODUCT(COUNTIF(empresas_filtradas[[#This Row],[cnpj]:[email]],"*"&amp;#REF!&amp;"*"))&gt;0,"sim","não")</f>
        <v>não</v>
      </c>
      <c r="M112" t="s">
        <v>727</v>
      </c>
      <c r="N112" t="str">
        <f>_xlfn.XLOOKUP(empresas_filtradas[[#This Row],[cnpj]], empresas_identificadas_compleme!A:A, empresas_identificadas_compleme!B:B)</f>
        <v>talvez</v>
      </c>
      <c r="O112" t="str">
        <f>_xlfn.XLOOKUP(empresas_filtradas[[#This Row],[cnpj]], empresas_identificadas_compleme!A:A, empresas_identificadas_compleme!C:C)</f>
        <v>CTF_APP</v>
      </c>
    </row>
    <row r="113" spans="1:15" hidden="1" x14ac:dyDescent="0.25">
      <c r="A113" s="1">
        <v>35820448006339</v>
      </c>
      <c r="B113" t="s">
        <v>15</v>
      </c>
      <c r="C113">
        <v>2</v>
      </c>
      <c r="E113">
        <v>2014200</v>
      </c>
      <c r="F113" t="s">
        <v>250</v>
      </c>
      <c r="G113" t="s">
        <v>251</v>
      </c>
      <c r="H113">
        <v>93212220</v>
      </c>
      <c r="I113" t="s">
        <v>117</v>
      </c>
      <c r="J113">
        <v>8901</v>
      </c>
      <c r="K113" t="s">
        <v>33</v>
      </c>
      <c r="L113" t="str" cm="1">
        <f t="array" ref="L113">IF(SUMPRODUCT(COUNTIF(empresas_filtradas[[#This Row],[cnpj]:[email]],"*"&amp;#REF!&amp;"*"))&gt;0,"sim","não")</f>
        <v>não</v>
      </c>
      <c r="M113" t="s">
        <v>728</v>
      </c>
      <c r="N113" t="str">
        <f>_xlfn.XLOOKUP(empresas_filtradas[[#This Row],[cnpj]], empresas_identificadas_compleme!A:A, empresas_identificadas_compleme!B:B)</f>
        <v>talvez</v>
      </c>
      <c r="O113" t="str">
        <f>_xlfn.XLOOKUP(empresas_filtradas[[#This Row],[cnpj]], empresas_identificadas_compleme!A:A, empresas_identificadas_compleme!C:C)</f>
        <v>CTF_APP e 80km</v>
      </c>
    </row>
    <row r="114" spans="1:15" hidden="1" x14ac:dyDescent="0.25">
      <c r="A114">
        <v>43843358001322</v>
      </c>
      <c r="B114" t="s">
        <v>15</v>
      </c>
      <c r="C114">
        <v>2</v>
      </c>
      <c r="E114">
        <v>2014200</v>
      </c>
      <c r="F114" t="s">
        <v>16</v>
      </c>
      <c r="G114" t="s">
        <v>252</v>
      </c>
      <c r="H114">
        <v>88535000</v>
      </c>
      <c r="I114" t="s">
        <v>65</v>
      </c>
      <c r="J114">
        <v>8395</v>
      </c>
      <c r="K114" t="s">
        <v>37</v>
      </c>
      <c r="L114" t="str" cm="1">
        <f t="array" ref="L114">IF(SUMPRODUCT(COUNTIF(empresas_filtradas[[#This Row],[cnpj]:[email]],"*"&amp;#REF!&amp;"*"))&gt;0,"sim","não")</f>
        <v>não</v>
      </c>
      <c r="M114" t="s">
        <v>728</v>
      </c>
      <c r="N114" t="str">
        <f>_xlfn.XLOOKUP(empresas_filtradas[[#This Row],[cnpj]], empresas_identificadas_compleme!A:A, empresas_identificadas_compleme!B:B)</f>
        <v>talvez</v>
      </c>
      <c r="O114" t="str">
        <f>_xlfn.XLOOKUP(empresas_filtradas[[#This Row],[cnpj]], empresas_identificadas_compleme!A:A, empresas_identificadas_compleme!C:C)</f>
        <v>CTF_APP</v>
      </c>
    </row>
    <row r="115" spans="1:15" hidden="1" x14ac:dyDescent="0.25">
      <c r="A115">
        <v>60619202007231</v>
      </c>
      <c r="B115" t="s">
        <v>21</v>
      </c>
      <c r="C115">
        <v>2</v>
      </c>
      <c r="E115">
        <v>2014200</v>
      </c>
      <c r="F115" t="s">
        <v>16</v>
      </c>
      <c r="G115" t="s">
        <v>253</v>
      </c>
      <c r="H115">
        <v>35180001</v>
      </c>
      <c r="I115" t="s">
        <v>17</v>
      </c>
      <c r="J115">
        <v>5373</v>
      </c>
      <c r="K115" t="s">
        <v>24</v>
      </c>
      <c r="L115" t="str" cm="1">
        <f t="array" ref="L115">IF(SUMPRODUCT(COUNTIF(empresas_filtradas[[#This Row],[cnpj]:[email]],"*"&amp;#REF!&amp;"*"))&gt;0,"sim","não")</f>
        <v>não</v>
      </c>
      <c r="M115" t="s">
        <v>728</v>
      </c>
      <c r="N115" t="str">
        <f>_xlfn.XLOOKUP(empresas_filtradas[[#This Row],[cnpj]], empresas_identificadas_compleme!A:A, empresas_identificadas_compleme!B:B)</f>
        <v>talvez</v>
      </c>
      <c r="O115" t="str">
        <f>_xlfn.XLOOKUP(empresas_filtradas[[#This Row],[cnpj]], empresas_identificadas_compleme!A:A, empresas_identificadas_compleme!C:C)</f>
        <v>CTF_APP e 80km</v>
      </c>
    </row>
    <row r="116" spans="1:15" hidden="1" x14ac:dyDescent="0.25">
      <c r="A116">
        <v>331788003649</v>
      </c>
      <c r="B116" t="s">
        <v>38</v>
      </c>
      <c r="C116">
        <v>2</v>
      </c>
      <c r="E116">
        <v>2014200</v>
      </c>
      <c r="F116" t="s">
        <v>16</v>
      </c>
      <c r="G116" t="s">
        <v>254</v>
      </c>
      <c r="H116">
        <v>74993530</v>
      </c>
      <c r="I116" t="s">
        <v>173</v>
      </c>
      <c r="J116">
        <v>9227</v>
      </c>
      <c r="K116" t="s">
        <v>28</v>
      </c>
      <c r="L116" t="str" cm="1">
        <f t="array" ref="L116">IF(SUMPRODUCT(COUNTIF(empresas_filtradas[[#This Row],[cnpj]:[email]],"*"&amp;#REF!&amp;"*"))&gt;0,"sim","não")</f>
        <v>não</v>
      </c>
      <c r="M116" t="s">
        <v>727</v>
      </c>
      <c r="N116" t="str">
        <f>_xlfn.XLOOKUP(empresas_filtradas[[#This Row],[cnpj]], empresas_identificadas_compleme!A:A, empresas_identificadas_compleme!B:B)</f>
        <v>talvez</v>
      </c>
      <c r="O116" t="str">
        <f>_xlfn.XLOOKUP(empresas_filtradas[[#This Row],[cnpj]], empresas_identificadas_compleme!A:A, empresas_identificadas_compleme!C:C)</f>
        <v>CTF_APP</v>
      </c>
    </row>
    <row r="117" spans="1:15" hidden="1" x14ac:dyDescent="0.25">
      <c r="A117" s="1">
        <v>66358979000182</v>
      </c>
      <c r="B117" t="s">
        <v>255</v>
      </c>
      <c r="C117">
        <v>2</v>
      </c>
      <c r="E117">
        <v>2014200</v>
      </c>
      <c r="F117" t="s">
        <v>99</v>
      </c>
      <c r="G117" t="s">
        <v>256</v>
      </c>
      <c r="H117">
        <v>34000001</v>
      </c>
      <c r="I117" t="s">
        <v>17</v>
      </c>
      <c r="J117">
        <v>4895</v>
      </c>
      <c r="K117" t="s">
        <v>257</v>
      </c>
      <c r="L117" t="str" cm="1">
        <f t="array" ref="L117">IF(SUMPRODUCT(COUNTIF(empresas_filtradas[[#This Row],[cnpj]:[email]],"*"&amp;#REF!&amp;"*"))&gt;0,"sim","não")</f>
        <v>não</v>
      </c>
      <c r="M117" t="s">
        <v>951</v>
      </c>
      <c r="N117" t="str">
        <f>_xlfn.XLOOKUP(empresas_filtradas[[#This Row],[cnpj]], empresas_identificadas_compleme!A:A, empresas_identificadas_compleme!B:B)</f>
        <v>talvez</v>
      </c>
      <c r="O117" t="str">
        <f>_xlfn.XLOOKUP(empresas_filtradas[[#This Row],[cnpj]], empresas_identificadas_compleme!A:A, empresas_identificadas_compleme!C:C)</f>
        <v>80km</v>
      </c>
    </row>
    <row r="118" spans="1:15" hidden="1" x14ac:dyDescent="0.25">
      <c r="A118" s="1">
        <v>35820448012657</v>
      </c>
      <c r="B118" t="s">
        <v>15</v>
      </c>
      <c r="C118">
        <v>2</v>
      </c>
      <c r="E118">
        <v>2014200</v>
      </c>
      <c r="F118" t="s">
        <v>258</v>
      </c>
      <c r="G118" t="s">
        <v>15</v>
      </c>
      <c r="H118">
        <v>39404620</v>
      </c>
      <c r="I118" t="s">
        <v>17</v>
      </c>
      <c r="J118">
        <v>4865</v>
      </c>
      <c r="K118" t="s">
        <v>33</v>
      </c>
      <c r="L118" t="str" cm="1">
        <f t="array" ref="L118">IF(SUMPRODUCT(COUNTIF(empresas_filtradas[[#This Row],[cnpj]:[email]],"*"&amp;#REF!&amp;"*"))&gt;0,"sim","não")</f>
        <v>não</v>
      </c>
      <c r="M118" t="s">
        <v>727</v>
      </c>
      <c r="N118" t="str">
        <f>_xlfn.XLOOKUP(empresas_filtradas[[#This Row],[cnpj]], empresas_identificadas_compleme!A:A, empresas_identificadas_compleme!B:B)</f>
        <v>talvez</v>
      </c>
      <c r="O118" t="str">
        <f>_xlfn.XLOOKUP(empresas_filtradas[[#This Row],[cnpj]], empresas_identificadas_compleme!A:A, empresas_identificadas_compleme!C:C)</f>
        <v>CTF_APP</v>
      </c>
    </row>
    <row r="119" spans="1:15" hidden="1" x14ac:dyDescent="0.25">
      <c r="A119">
        <v>331788000380</v>
      </c>
      <c r="B119" t="s">
        <v>15</v>
      </c>
      <c r="C119">
        <v>2</v>
      </c>
      <c r="E119">
        <v>2014200</v>
      </c>
      <c r="F119" t="s">
        <v>259</v>
      </c>
      <c r="G119" t="s">
        <v>15</v>
      </c>
      <c r="H119">
        <v>8686000</v>
      </c>
      <c r="I119" t="s">
        <v>32</v>
      </c>
      <c r="J119">
        <v>7151</v>
      </c>
      <c r="K119" t="s">
        <v>28</v>
      </c>
      <c r="L119" t="str" cm="1">
        <f t="array" ref="L119">IF(SUMPRODUCT(COUNTIF(empresas_filtradas[[#This Row],[cnpj]:[email]],"*"&amp;#REF!&amp;"*"))&gt;0,"sim","não")</f>
        <v>não</v>
      </c>
      <c r="M119" t="s">
        <v>728</v>
      </c>
      <c r="N119" t="str">
        <f>_xlfn.XLOOKUP(empresas_filtradas[[#This Row],[cnpj]], empresas_identificadas_compleme!A:A, empresas_identificadas_compleme!B:B)</f>
        <v>talvez</v>
      </c>
      <c r="O119" t="str">
        <f>_xlfn.XLOOKUP(empresas_filtradas[[#This Row],[cnpj]], empresas_identificadas_compleme!A:A, empresas_identificadas_compleme!C:C)</f>
        <v>CTF_APP e 80km</v>
      </c>
    </row>
    <row r="120" spans="1:15" hidden="1" x14ac:dyDescent="0.25">
      <c r="A120">
        <v>331788000704</v>
      </c>
      <c r="B120" t="s">
        <v>15</v>
      </c>
      <c r="C120">
        <v>2</v>
      </c>
      <c r="E120">
        <v>2014200</v>
      </c>
      <c r="F120" t="s">
        <v>16</v>
      </c>
      <c r="G120" t="s">
        <v>260</v>
      </c>
      <c r="H120">
        <v>13212240</v>
      </c>
      <c r="I120" t="s">
        <v>32</v>
      </c>
      <c r="J120">
        <v>6619</v>
      </c>
      <c r="K120" t="s">
        <v>28</v>
      </c>
      <c r="L120" t="str" cm="1">
        <f t="array" ref="L120">IF(SUMPRODUCT(COUNTIF(empresas_filtradas[[#This Row],[cnpj]:[email]],"*"&amp;#REF!&amp;"*"))&gt;0,"sim","não")</f>
        <v>não</v>
      </c>
      <c r="M120" t="s">
        <v>728</v>
      </c>
      <c r="N120" t="str">
        <f>_xlfn.XLOOKUP(empresas_filtradas[[#This Row],[cnpj]], empresas_identificadas_compleme!A:A, empresas_identificadas_compleme!B:B)</f>
        <v>talvez</v>
      </c>
      <c r="O120" t="str">
        <f>_xlfn.XLOOKUP(empresas_filtradas[[#This Row],[cnpj]], empresas_identificadas_compleme!A:A, empresas_identificadas_compleme!C:C)</f>
        <v>CTF_APP e 80km</v>
      </c>
    </row>
    <row r="121" spans="1:15" hidden="1" x14ac:dyDescent="0.25">
      <c r="A121">
        <v>67423152000844</v>
      </c>
      <c r="B121" t="s">
        <v>15</v>
      </c>
      <c r="C121">
        <v>2</v>
      </c>
      <c r="E121">
        <v>2014200</v>
      </c>
      <c r="F121" t="s">
        <v>90</v>
      </c>
      <c r="G121" t="s">
        <v>261</v>
      </c>
      <c r="H121">
        <v>15035210</v>
      </c>
      <c r="I121" t="s">
        <v>32</v>
      </c>
      <c r="J121">
        <v>7097</v>
      </c>
      <c r="K121" t="s">
        <v>262</v>
      </c>
      <c r="L121" t="str" cm="1">
        <f t="array" ref="L121">IF(SUMPRODUCT(COUNTIF(empresas_filtradas[[#This Row],[cnpj]:[email]],"*"&amp;#REF!&amp;"*"))&gt;0,"sim","não")</f>
        <v>não</v>
      </c>
      <c r="M121" t="s">
        <v>951</v>
      </c>
      <c r="N121" t="str">
        <f>_xlfn.XLOOKUP(empresas_filtradas[[#This Row],[cnpj]], empresas_identificadas_compleme!A:A, empresas_identificadas_compleme!B:B)</f>
        <v>talvez</v>
      </c>
      <c r="O121" t="str">
        <f>_xlfn.XLOOKUP(empresas_filtradas[[#This Row],[cnpj]], empresas_identificadas_compleme!A:A, empresas_identificadas_compleme!C:C)</f>
        <v>CTF_APP</v>
      </c>
    </row>
    <row r="122" spans="1:15" hidden="1" x14ac:dyDescent="0.25">
      <c r="A122">
        <v>60830296001686</v>
      </c>
      <c r="B122" t="s">
        <v>15</v>
      </c>
      <c r="C122">
        <v>2</v>
      </c>
      <c r="E122">
        <v>2014200</v>
      </c>
      <c r="F122" t="s">
        <v>263</v>
      </c>
      <c r="G122" t="s">
        <v>264</v>
      </c>
      <c r="H122">
        <v>95030370</v>
      </c>
      <c r="I122" t="s">
        <v>117</v>
      </c>
      <c r="J122">
        <v>8599</v>
      </c>
      <c r="K122" t="s">
        <v>953</v>
      </c>
      <c r="L122" t="str" cm="1">
        <f t="array" ref="L122">IF(SUMPRODUCT(COUNTIF(empresas_filtradas[[#This Row],[cnpj]:[email]],"*"&amp;#REF!&amp;"*"))&gt;0,"sim","não")</f>
        <v>não</v>
      </c>
      <c r="M122" t="s">
        <v>727</v>
      </c>
      <c r="N122" t="str">
        <f>_xlfn.XLOOKUP(empresas_filtradas[[#This Row],[cnpj]], empresas_identificadas_compleme!A:A, empresas_identificadas_compleme!B:B)</f>
        <v>talvez</v>
      </c>
      <c r="O122">
        <f>_xlfn.XLOOKUP(empresas_filtradas[[#This Row],[cnpj]], empresas_identificadas_compleme!A:A, empresas_identificadas_compleme!C:C)</f>
        <v>0</v>
      </c>
    </row>
    <row r="123" spans="1:15" hidden="1" x14ac:dyDescent="0.25">
      <c r="A123" s="1">
        <v>35820448019074</v>
      </c>
      <c r="B123" t="s">
        <v>15</v>
      </c>
      <c r="C123">
        <v>2</v>
      </c>
      <c r="E123">
        <v>2014200</v>
      </c>
      <c r="F123" t="s">
        <v>265</v>
      </c>
      <c r="G123" t="s">
        <v>15</v>
      </c>
      <c r="H123">
        <v>96745000</v>
      </c>
      <c r="I123" t="s">
        <v>117</v>
      </c>
      <c r="J123">
        <v>8693</v>
      </c>
      <c r="K123" t="s">
        <v>33</v>
      </c>
      <c r="L123" t="str" cm="1">
        <f t="array" ref="L123">IF(SUMPRODUCT(COUNTIF(empresas_filtradas[[#This Row],[cnpj]:[email]],"*"&amp;#REF!&amp;"*"))&gt;0,"sim","não")</f>
        <v>não</v>
      </c>
      <c r="M123" t="s">
        <v>728</v>
      </c>
      <c r="N123" t="str">
        <f>_xlfn.XLOOKUP(empresas_filtradas[[#This Row],[cnpj]], empresas_identificadas_compleme!A:A, empresas_identificadas_compleme!B:B)</f>
        <v>talvez</v>
      </c>
      <c r="O123" t="str">
        <f>_xlfn.XLOOKUP(empresas_filtradas[[#This Row],[cnpj]], empresas_identificadas_compleme!A:A, empresas_identificadas_compleme!C:C)</f>
        <v>CTF_APP e 80km</v>
      </c>
    </row>
    <row r="124" spans="1:15" hidden="1" x14ac:dyDescent="0.25">
      <c r="A124" s="1">
        <v>24380578005814</v>
      </c>
      <c r="B124" t="s">
        <v>15</v>
      </c>
      <c r="C124">
        <v>2</v>
      </c>
      <c r="E124">
        <v>2014200</v>
      </c>
      <c r="F124" t="s">
        <v>266</v>
      </c>
      <c r="G124" t="s">
        <v>267</v>
      </c>
      <c r="H124">
        <v>42850000</v>
      </c>
      <c r="I124" t="s">
        <v>60</v>
      </c>
      <c r="J124">
        <v>3087</v>
      </c>
      <c r="K124" t="s">
        <v>33</v>
      </c>
      <c r="L124" t="str" cm="1">
        <f t="array" ref="L124">IF(SUMPRODUCT(COUNTIF(empresas_filtradas[[#This Row],[cnpj]:[email]],"*"&amp;#REF!&amp;"*"))&gt;0,"sim","não")</f>
        <v>não</v>
      </c>
      <c r="M124" t="s">
        <v>728</v>
      </c>
      <c r="N124" t="str">
        <f>_xlfn.XLOOKUP(empresas_filtradas[[#This Row],[cnpj]], empresas_identificadas_compleme!A:A, empresas_identificadas_compleme!B:B)</f>
        <v>talvez</v>
      </c>
      <c r="O124" t="str">
        <f>_xlfn.XLOOKUP(empresas_filtradas[[#This Row],[cnpj]], empresas_identificadas_compleme!A:A, empresas_identificadas_compleme!C:C)</f>
        <v>80km</v>
      </c>
    </row>
    <row r="125" spans="1:15" hidden="1" x14ac:dyDescent="0.25">
      <c r="A125">
        <v>331788004963</v>
      </c>
      <c r="B125" t="s">
        <v>15</v>
      </c>
      <c r="C125">
        <v>2</v>
      </c>
      <c r="E125">
        <v>2014200</v>
      </c>
      <c r="F125" t="s">
        <v>268</v>
      </c>
      <c r="G125" t="s">
        <v>156</v>
      </c>
      <c r="H125">
        <v>12241420</v>
      </c>
      <c r="I125" t="s">
        <v>32</v>
      </c>
      <c r="J125">
        <v>7099</v>
      </c>
      <c r="K125" t="s">
        <v>28</v>
      </c>
      <c r="L125" t="str" cm="1">
        <f t="array" ref="L125">IF(SUMPRODUCT(COUNTIF(empresas_filtradas[[#This Row],[cnpj]:[email]],"*"&amp;#REF!&amp;"*"))&gt;0,"sim","não")</f>
        <v>não</v>
      </c>
      <c r="M125" t="s">
        <v>728</v>
      </c>
      <c r="N125" t="str">
        <f>_xlfn.XLOOKUP(empresas_filtradas[[#This Row],[cnpj]], empresas_identificadas_compleme!A:A, empresas_identificadas_compleme!B:B)</f>
        <v>talvez</v>
      </c>
      <c r="O125" t="str">
        <f>_xlfn.XLOOKUP(empresas_filtradas[[#This Row],[cnpj]], empresas_identificadas_compleme!A:A, empresas_identificadas_compleme!C:C)</f>
        <v>CTF_APP e 80km</v>
      </c>
    </row>
    <row r="126" spans="1:15" hidden="1" x14ac:dyDescent="0.25">
      <c r="A126" s="1">
        <v>24380578006209</v>
      </c>
      <c r="B126" t="s">
        <v>15</v>
      </c>
      <c r="C126">
        <v>2</v>
      </c>
      <c r="E126">
        <v>2014200</v>
      </c>
      <c r="F126" t="s">
        <v>269</v>
      </c>
      <c r="G126" t="s">
        <v>270</v>
      </c>
      <c r="H126">
        <v>55590000</v>
      </c>
      <c r="I126" t="s">
        <v>92</v>
      </c>
      <c r="J126">
        <v>2443</v>
      </c>
      <c r="K126" t="s">
        <v>33</v>
      </c>
      <c r="L126" t="str" cm="1">
        <f t="array" ref="L126">IF(SUMPRODUCT(COUNTIF(empresas_filtradas[[#This Row],[cnpj]:[email]],"*"&amp;#REF!&amp;"*"))&gt;0,"sim","não")</f>
        <v>não</v>
      </c>
      <c r="M126" t="s">
        <v>726</v>
      </c>
      <c r="N126" t="str">
        <f>_xlfn.XLOOKUP(empresas_filtradas[[#This Row],[cnpj]], empresas_identificadas_compleme!A:A, empresas_identificadas_compleme!B:B)</f>
        <v>produz_h2</v>
      </c>
      <c r="O126" t="str">
        <f>_xlfn.XLOOKUP(empresas_filtradas[[#This Row],[cnpj]], empresas_identificadas_compleme!A:A, empresas_identificadas_compleme!C:C)</f>
        <v>CTF_APP e 80km</v>
      </c>
    </row>
    <row r="127" spans="1:15" x14ac:dyDescent="0.25">
      <c r="A127" s="1">
        <v>2084922000230</v>
      </c>
      <c r="B127" t="s">
        <v>271</v>
      </c>
      <c r="C127">
        <v>2</v>
      </c>
      <c r="E127">
        <v>2014200</v>
      </c>
      <c r="F127" t="s">
        <v>272</v>
      </c>
      <c r="G127" t="s">
        <v>273</v>
      </c>
      <c r="H127">
        <v>68795000</v>
      </c>
      <c r="I127" t="s">
        <v>78</v>
      </c>
      <c r="J127">
        <v>429</v>
      </c>
      <c r="K127" t="s">
        <v>15</v>
      </c>
      <c r="L127" t="str" cm="1">
        <f t="array" ref="L127">IF(SUMPRODUCT(COUNTIF(empresas_filtradas[[#This Row],[cnpj]:[email]],"*"&amp;#REF!&amp;"*"))&gt;0,"sim","não")</f>
        <v>não</v>
      </c>
      <c r="M127" t="s">
        <v>950</v>
      </c>
      <c r="N127" t="str">
        <f>_xlfn.XLOOKUP(empresas_filtradas[[#This Row],[cnpj]], empresas_identificadas_compleme!A:A, empresas_identificadas_compleme!B:B)</f>
        <v>talvez</v>
      </c>
      <c r="O127" t="str">
        <f>_xlfn.XLOOKUP(empresas_filtradas[[#This Row],[cnpj]], empresas_identificadas_compleme!A:A, empresas_identificadas_compleme!C:C)</f>
        <v>80km</v>
      </c>
    </row>
    <row r="128" spans="1:15" hidden="1" x14ac:dyDescent="0.25">
      <c r="A128">
        <v>8816634000129</v>
      </c>
      <c r="B128" t="s">
        <v>15</v>
      </c>
      <c r="C128">
        <v>2</v>
      </c>
      <c r="E128">
        <v>2014200</v>
      </c>
      <c r="F128" t="s">
        <v>263</v>
      </c>
      <c r="G128" t="s">
        <v>15</v>
      </c>
      <c r="H128">
        <v>2110000</v>
      </c>
      <c r="I128" t="s">
        <v>32</v>
      </c>
      <c r="J128">
        <v>7107</v>
      </c>
      <c r="K128" t="s">
        <v>274</v>
      </c>
      <c r="L128" t="str" cm="1">
        <f t="array" ref="L128">IF(SUMPRODUCT(COUNTIF(empresas_filtradas[[#This Row],[cnpj]:[email]],"*"&amp;#REF!&amp;"*"))&gt;0,"sim","não")</f>
        <v>não</v>
      </c>
      <c r="M128" t="s">
        <v>951</v>
      </c>
      <c r="N128" t="str">
        <f>_xlfn.XLOOKUP(empresas_filtradas[[#This Row],[cnpj]], empresas_identificadas_compleme!A:A, empresas_identificadas_compleme!B:B)</f>
        <v>incerto</v>
      </c>
      <c r="O128" t="str">
        <f>_xlfn.XLOOKUP(empresas_filtradas[[#This Row],[cnpj]], empresas_identificadas_compleme!A:A, empresas_identificadas_compleme!C:C)</f>
        <v>CTF_APP e 80km</v>
      </c>
    </row>
    <row r="129" spans="1:15" hidden="1" x14ac:dyDescent="0.25">
      <c r="A129">
        <v>331788008365</v>
      </c>
      <c r="B129" t="s">
        <v>15</v>
      </c>
      <c r="C129">
        <v>2</v>
      </c>
      <c r="E129">
        <v>2014200</v>
      </c>
      <c r="F129" t="s">
        <v>275</v>
      </c>
      <c r="G129" t="s">
        <v>15</v>
      </c>
      <c r="H129">
        <v>67120370</v>
      </c>
      <c r="I129" t="s">
        <v>78</v>
      </c>
      <c r="J129">
        <v>415</v>
      </c>
      <c r="K129" t="s">
        <v>28</v>
      </c>
      <c r="L129" t="str" cm="1">
        <f t="array" ref="L129">IF(SUMPRODUCT(COUNTIF(empresas_filtradas[[#This Row],[cnpj]:[email]],"*"&amp;#REF!&amp;"*"))&gt;0,"sim","não")</f>
        <v>não</v>
      </c>
      <c r="M129" t="s">
        <v>728</v>
      </c>
      <c r="N129" t="str">
        <f>_xlfn.XLOOKUP(empresas_filtradas[[#This Row],[cnpj]], empresas_identificadas_compleme!A:A, empresas_identificadas_compleme!B:B)</f>
        <v>talvez</v>
      </c>
      <c r="O129" t="str">
        <f>_xlfn.XLOOKUP(empresas_filtradas[[#This Row],[cnpj]], empresas_identificadas_compleme!A:A, empresas_identificadas_compleme!C:C)</f>
        <v>CTF_APP e 80km</v>
      </c>
    </row>
    <row r="130" spans="1:15" hidden="1" x14ac:dyDescent="0.25">
      <c r="A130">
        <v>331788007717</v>
      </c>
      <c r="B130" t="s">
        <v>276</v>
      </c>
      <c r="C130">
        <v>2</v>
      </c>
      <c r="E130">
        <v>2014200</v>
      </c>
      <c r="F130" t="s">
        <v>16</v>
      </c>
      <c r="G130" t="s">
        <v>15</v>
      </c>
      <c r="H130">
        <v>84350000</v>
      </c>
      <c r="I130" t="s">
        <v>45</v>
      </c>
      <c r="J130">
        <v>7727</v>
      </c>
      <c r="K130" t="s">
        <v>28</v>
      </c>
      <c r="L130" t="str" cm="1">
        <f t="array" ref="L130">IF(SUMPRODUCT(COUNTIF(empresas_filtradas[[#This Row],[cnpj]:[email]],"*"&amp;#REF!&amp;"*"))&gt;0,"sim","não")</f>
        <v>não</v>
      </c>
      <c r="M130" t="s">
        <v>727</v>
      </c>
      <c r="N130" t="str">
        <f>_xlfn.XLOOKUP(empresas_filtradas[[#This Row],[cnpj]], empresas_identificadas_compleme!A:A, empresas_identificadas_compleme!B:B)</f>
        <v>talvez</v>
      </c>
      <c r="O130" t="str">
        <f>_xlfn.XLOOKUP(empresas_filtradas[[#This Row],[cnpj]], empresas_identificadas_compleme!A:A, empresas_identificadas_compleme!C:C)</f>
        <v>CTF_APP</v>
      </c>
    </row>
    <row r="131" spans="1:15" hidden="1" x14ac:dyDescent="0.25">
      <c r="A131" s="1">
        <v>24380578006110</v>
      </c>
      <c r="B131" t="s">
        <v>15</v>
      </c>
      <c r="C131">
        <v>2</v>
      </c>
      <c r="E131">
        <v>2014200</v>
      </c>
      <c r="F131" t="s">
        <v>196</v>
      </c>
      <c r="G131" t="s">
        <v>15</v>
      </c>
      <c r="H131">
        <v>71200030</v>
      </c>
      <c r="I131" t="s">
        <v>40</v>
      </c>
      <c r="J131">
        <v>9701</v>
      </c>
      <c r="K131" t="s">
        <v>33</v>
      </c>
      <c r="L131" t="str" cm="1">
        <f t="array" ref="L131">IF(SUMPRODUCT(COUNTIF(empresas_filtradas[[#This Row],[cnpj]:[email]],"*"&amp;#REF!&amp;"*"))&gt;0,"sim","não")</f>
        <v>não</v>
      </c>
      <c r="M131" t="s">
        <v>727</v>
      </c>
      <c r="N131" t="str">
        <f>_xlfn.XLOOKUP(empresas_filtradas[[#This Row],[cnpj]], empresas_identificadas_compleme!A:A, empresas_identificadas_compleme!B:B)</f>
        <v>talvez</v>
      </c>
      <c r="O131">
        <f>_xlfn.XLOOKUP(empresas_filtradas[[#This Row],[cnpj]], empresas_identificadas_compleme!A:A, empresas_identificadas_compleme!C:C)</f>
        <v>0</v>
      </c>
    </row>
    <row r="132" spans="1:15" x14ac:dyDescent="0.25">
      <c r="A132">
        <v>28606961000163</v>
      </c>
      <c r="B132" t="s">
        <v>277</v>
      </c>
      <c r="C132">
        <v>2</v>
      </c>
      <c r="E132">
        <v>2014200</v>
      </c>
      <c r="F132" t="s">
        <v>278</v>
      </c>
      <c r="G132" t="s">
        <v>15</v>
      </c>
      <c r="H132">
        <v>58884000</v>
      </c>
      <c r="I132" t="s">
        <v>96</v>
      </c>
      <c r="J132">
        <v>1987</v>
      </c>
      <c r="K132" t="s">
        <v>279</v>
      </c>
      <c r="L132" t="str" cm="1">
        <f t="array" ref="L132">IF(SUMPRODUCT(COUNTIF(empresas_filtradas[[#This Row],[cnpj]:[email]],"*"&amp;#REF!&amp;"*"))&gt;0,"sim","não")</f>
        <v>não</v>
      </c>
      <c r="M132" t="s">
        <v>950</v>
      </c>
      <c r="N132" t="str">
        <f>_xlfn.XLOOKUP(empresas_filtradas[[#This Row],[cnpj]], empresas_identificadas_compleme!A:A, empresas_identificadas_compleme!B:B)</f>
        <v>talvez</v>
      </c>
      <c r="O132">
        <f>_xlfn.XLOOKUP(empresas_filtradas[[#This Row],[cnpj]], empresas_identificadas_compleme!A:A, empresas_identificadas_compleme!C:C)</f>
        <v>0</v>
      </c>
    </row>
    <row r="133" spans="1:15" x14ac:dyDescent="0.25">
      <c r="A133" s="1">
        <v>6070048000233</v>
      </c>
      <c r="B133" t="s">
        <v>280</v>
      </c>
      <c r="C133">
        <v>2</v>
      </c>
      <c r="E133">
        <v>2014200</v>
      </c>
      <c r="F133" t="s">
        <v>281</v>
      </c>
      <c r="G133" t="s">
        <v>15</v>
      </c>
      <c r="H133">
        <v>13571390</v>
      </c>
      <c r="I133" t="s">
        <v>32</v>
      </c>
      <c r="J133">
        <v>7079</v>
      </c>
      <c r="K133" t="s">
        <v>282</v>
      </c>
      <c r="L133" t="str" cm="1">
        <f t="array" ref="L133">IF(SUMPRODUCT(COUNTIF(empresas_filtradas[[#This Row],[cnpj]:[email]],"*"&amp;#REF!&amp;"*"))&gt;0,"sim","não")</f>
        <v>não</v>
      </c>
      <c r="M133" t="s">
        <v>950</v>
      </c>
      <c r="N133" t="str">
        <f>_xlfn.XLOOKUP(empresas_filtradas[[#This Row],[cnpj]], empresas_identificadas_compleme!A:A, empresas_identificadas_compleme!B:B)</f>
        <v>talvez</v>
      </c>
      <c r="O133" t="str">
        <f>_xlfn.XLOOKUP(empresas_filtradas[[#This Row],[cnpj]], empresas_identificadas_compleme!A:A, empresas_identificadas_compleme!C:C)</f>
        <v>CTF_APP</v>
      </c>
    </row>
    <row r="134" spans="1:15" x14ac:dyDescent="0.25">
      <c r="A134">
        <v>36035195000152</v>
      </c>
      <c r="B134" t="s">
        <v>283</v>
      </c>
      <c r="C134">
        <v>2</v>
      </c>
      <c r="E134">
        <v>2014200</v>
      </c>
      <c r="F134" t="s">
        <v>284</v>
      </c>
      <c r="G134" t="s">
        <v>15</v>
      </c>
      <c r="H134">
        <v>61814899</v>
      </c>
      <c r="I134" t="s">
        <v>108</v>
      </c>
      <c r="J134">
        <v>1495</v>
      </c>
      <c r="K134" t="s">
        <v>233</v>
      </c>
      <c r="L134" t="str" cm="1">
        <f t="array" ref="L134">IF(SUMPRODUCT(COUNTIF(empresas_filtradas[[#This Row],[cnpj]:[email]],"*"&amp;#REF!&amp;"*"))&gt;0,"sim","não")</f>
        <v>não</v>
      </c>
      <c r="M134" t="s">
        <v>950</v>
      </c>
      <c r="N134" t="e">
        <f>_xlfn.XLOOKUP(empresas_filtradas[[#This Row],[cnpj]], empresas_identificadas_compleme!A:A, empresas_identificadas_compleme!B:B)</f>
        <v>#N/A</v>
      </c>
      <c r="O134" t="e">
        <f>_xlfn.XLOOKUP(empresas_filtradas[[#This Row],[cnpj]], empresas_identificadas_compleme!A:A, empresas_identificadas_compleme!C:C)</f>
        <v>#N/A</v>
      </c>
    </row>
    <row r="135" spans="1:15" hidden="1" x14ac:dyDescent="0.25">
      <c r="A135" s="1">
        <v>35820448021990</v>
      </c>
      <c r="B135" t="s">
        <v>15</v>
      </c>
      <c r="C135">
        <v>2</v>
      </c>
      <c r="E135">
        <v>2014200</v>
      </c>
      <c r="F135" t="s">
        <v>16</v>
      </c>
      <c r="G135" t="s">
        <v>285</v>
      </c>
      <c r="H135">
        <v>18685900</v>
      </c>
      <c r="I135" t="s">
        <v>32</v>
      </c>
      <c r="J135">
        <v>6637</v>
      </c>
      <c r="K135" t="s">
        <v>33</v>
      </c>
      <c r="L135" t="str" cm="1">
        <f t="array" ref="L135">IF(SUMPRODUCT(COUNTIF(empresas_filtradas[[#This Row],[cnpj]:[email]],"*"&amp;#REF!&amp;"*"))&gt;0,"sim","não")</f>
        <v>não</v>
      </c>
      <c r="M135" t="s">
        <v>727</v>
      </c>
      <c r="N135" t="str">
        <f>_xlfn.XLOOKUP(empresas_filtradas[[#This Row],[cnpj]], empresas_identificadas_compleme!A:A, empresas_identificadas_compleme!B:B)</f>
        <v>talvez</v>
      </c>
      <c r="O135" t="str">
        <f>_xlfn.XLOOKUP(empresas_filtradas[[#This Row],[cnpj]], empresas_identificadas_compleme!A:A, empresas_identificadas_compleme!C:C)</f>
        <v>CTF_APP</v>
      </c>
    </row>
    <row r="136" spans="1:15" x14ac:dyDescent="0.25">
      <c r="A136">
        <v>57894936000120</v>
      </c>
      <c r="B136" t="s">
        <v>286</v>
      </c>
      <c r="C136">
        <v>2</v>
      </c>
      <c r="E136">
        <v>2014200</v>
      </c>
      <c r="F136" t="s">
        <v>287</v>
      </c>
      <c r="G136" t="s">
        <v>15</v>
      </c>
      <c r="H136">
        <v>32113235</v>
      </c>
      <c r="I136" t="s">
        <v>17</v>
      </c>
      <c r="J136">
        <v>4371</v>
      </c>
      <c r="K136" t="s">
        <v>288</v>
      </c>
      <c r="L136" t="str" cm="1">
        <f t="array" ref="L136">IF(SUMPRODUCT(COUNTIF(empresas_filtradas[[#This Row],[cnpj]:[email]],"*"&amp;#REF!&amp;"*"))&gt;0,"sim","não")</f>
        <v>não</v>
      </c>
      <c r="M136" t="s">
        <v>950</v>
      </c>
      <c r="N136" t="str">
        <f>_xlfn.XLOOKUP(empresas_filtradas[[#This Row],[cnpj]], empresas_identificadas_compleme!A:A, empresas_identificadas_compleme!B:B)</f>
        <v>talvez</v>
      </c>
      <c r="O136" t="str">
        <f>_xlfn.XLOOKUP(empresas_filtradas[[#This Row],[cnpj]], empresas_identificadas_compleme!A:A, empresas_identificadas_compleme!C:C)</f>
        <v>CTF_APP e 80km</v>
      </c>
    </row>
    <row r="137" spans="1:15" hidden="1" x14ac:dyDescent="0.25">
      <c r="A137">
        <v>16685196000305</v>
      </c>
      <c r="B137" t="s">
        <v>289</v>
      </c>
      <c r="C137">
        <v>2</v>
      </c>
      <c r="E137">
        <v>2014200</v>
      </c>
      <c r="F137" t="s">
        <v>118</v>
      </c>
      <c r="G137" t="s">
        <v>290</v>
      </c>
      <c r="H137">
        <v>13505620</v>
      </c>
      <c r="I137" t="s">
        <v>32</v>
      </c>
      <c r="J137">
        <v>6979</v>
      </c>
      <c r="K137" t="s">
        <v>291</v>
      </c>
      <c r="L137" t="str" cm="1">
        <f t="array" ref="L137">IF(SUMPRODUCT(COUNTIF(empresas_filtradas[[#This Row],[cnpj]:[email]],"*"&amp;#REF!&amp;"*"))&gt;0,"sim","não")</f>
        <v>não</v>
      </c>
      <c r="M137" t="s">
        <v>951</v>
      </c>
      <c r="N137" t="str">
        <f>_xlfn.XLOOKUP(empresas_filtradas[[#This Row],[cnpj]], empresas_identificadas_compleme!A:A, empresas_identificadas_compleme!B:B)</f>
        <v>talvez</v>
      </c>
      <c r="O137" t="str">
        <f>_xlfn.XLOOKUP(empresas_filtradas[[#This Row],[cnpj]], empresas_identificadas_compleme!A:A, empresas_identificadas_compleme!C:C)</f>
        <v>CTF_APP e 80km</v>
      </c>
    </row>
    <row r="138" spans="1:15" x14ac:dyDescent="0.25">
      <c r="A138">
        <v>59968994000187</v>
      </c>
      <c r="B138" t="s">
        <v>15</v>
      </c>
      <c r="C138">
        <v>2</v>
      </c>
      <c r="E138">
        <v>2014200</v>
      </c>
      <c r="F138" t="s">
        <v>292</v>
      </c>
      <c r="G138" t="s">
        <v>15</v>
      </c>
      <c r="H138">
        <v>13630010</v>
      </c>
      <c r="I138" t="s">
        <v>32</v>
      </c>
      <c r="J138">
        <v>6887</v>
      </c>
      <c r="K138" t="s">
        <v>231</v>
      </c>
      <c r="L138" t="str" cm="1">
        <f t="array" ref="L138">IF(SUMPRODUCT(COUNTIF(empresas_filtradas[[#This Row],[cnpj]:[email]],"*"&amp;#REF!&amp;"*"))&gt;0,"sim","não")</f>
        <v>não</v>
      </c>
      <c r="M138" t="s">
        <v>950</v>
      </c>
      <c r="N138" t="str">
        <f>_xlfn.XLOOKUP(empresas_filtradas[[#This Row],[cnpj]], empresas_identificadas_compleme!A:A, empresas_identificadas_compleme!B:B)</f>
        <v>incerto</v>
      </c>
      <c r="O138">
        <f>_xlfn.XLOOKUP(empresas_filtradas[[#This Row],[cnpj]], empresas_identificadas_compleme!A:A, empresas_identificadas_compleme!C:C)</f>
        <v>0</v>
      </c>
    </row>
    <row r="139" spans="1:15" hidden="1" x14ac:dyDescent="0.25">
      <c r="A139" s="1">
        <v>57079083000173</v>
      </c>
      <c r="B139" t="s">
        <v>15</v>
      </c>
      <c r="C139">
        <v>2</v>
      </c>
      <c r="E139">
        <v>2014200</v>
      </c>
      <c r="F139" t="s">
        <v>293</v>
      </c>
      <c r="G139" t="s">
        <v>15</v>
      </c>
      <c r="H139">
        <v>49010660</v>
      </c>
      <c r="I139" t="s">
        <v>133</v>
      </c>
      <c r="J139">
        <v>3105</v>
      </c>
      <c r="K139" t="s">
        <v>294</v>
      </c>
      <c r="L139" t="str" cm="1">
        <f t="array" ref="L139">IF(SUMPRODUCT(COUNTIF(empresas_filtradas[[#This Row],[cnpj]:[email]],"*"&amp;#REF!&amp;"*"))&gt;0,"sim","não")</f>
        <v>não</v>
      </c>
      <c r="M139" t="s">
        <v>952</v>
      </c>
      <c r="N139" t="str">
        <f>_xlfn.XLOOKUP(empresas_filtradas[[#This Row],[cnpj]], empresas_identificadas_compleme!A:A, empresas_identificadas_compleme!B:B)</f>
        <v>talvez</v>
      </c>
      <c r="O139" t="str">
        <f>_xlfn.XLOOKUP(empresas_filtradas[[#This Row],[cnpj]], empresas_identificadas_compleme!A:A, empresas_identificadas_compleme!C:C)</f>
        <v>80km</v>
      </c>
    </row>
    <row r="140" spans="1:15" hidden="1" x14ac:dyDescent="0.25">
      <c r="A140" s="1">
        <v>61898569000100</v>
      </c>
      <c r="B140" t="s">
        <v>295</v>
      </c>
      <c r="C140">
        <v>2</v>
      </c>
      <c r="E140">
        <v>2014200</v>
      </c>
      <c r="F140" t="s">
        <v>296</v>
      </c>
      <c r="G140" t="s">
        <v>220</v>
      </c>
      <c r="H140">
        <v>60833155</v>
      </c>
      <c r="I140" t="s">
        <v>108</v>
      </c>
      <c r="J140">
        <v>1389</v>
      </c>
      <c r="K140" t="s">
        <v>297</v>
      </c>
      <c r="L140" t="str" cm="1">
        <f t="array" ref="L140">IF(SUMPRODUCT(COUNTIF(empresas_filtradas[[#This Row],[cnpj]:[email]],"*"&amp;#REF!&amp;"*"))&gt;0,"sim","não")</f>
        <v>não</v>
      </c>
      <c r="M140" t="s">
        <v>951</v>
      </c>
      <c r="N140" t="str">
        <f>_xlfn.XLOOKUP(empresas_filtradas[[#This Row],[cnpj]], empresas_identificadas_compleme!A:A, empresas_identificadas_compleme!B:B)</f>
        <v>talvez</v>
      </c>
      <c r="O140" t="str">
        <f>_xlfn.XLOOKUP(empresas_filtradas[[#This Row],[cnpj]], empresas_identificadas_compleme!A:A, empresas_identificadas_compleme!C:C)</f>
        <v>80km</v>
      </c>
    </row>
    <row r="141" spans="1:15" x14ac:dyDescent="0.25">
      <c r="A141">
        <v>62802077000132</v>
      </c>
      <c r="B141" t="s">
        <v>298</v>
      </c>
      <c r="C141">
        <v>2</v>
      </c>
      <c r="E141">
        <v>2014200</v>
      </c>
      <c r="F141" t="s">
        <v>299</v>
      </c>
      <c r="G141" t="s">
        <v>15</v>
      </c>
      <c r="H141">
        <v>30575460</v>
      </c>
      <c r="I141" t="s">
        <v>17</v>
      </c>
      <c r="J141">
        <v>4123</v>
      </c>
      <c r="K141" t="s">
        <v>300</v>
      </c>
      <c r="L141" t="str" cm="1">
        <f t="array" ref="L141">IF(SUMPRODUCT(COUNTIF(empresas_filtradas[[#This Row],[cnpj]:[email]],"*"&amp;#REF!&amp;"*"))&gt;0,"sim","não")</f>
        <v>não</v>
      </c>
      <c r="M141" t="s">
        <v>950</v>
      </c>
      <c r="N141" t="e">
        <f>_xlfn.XLOOKUP(empresas_filtradas[[#This Row],[cnpj]], empresas_identificadas_compleme!A:A, empresas_identificadas_compleme!B:B)</f>
        <v>#N/A</v>
      </c>
      <c r="O141" t="e">
        <f>_xlfn.XLOOKUP(empresas_filtradas[[#This Row],[cnpj]], empresas_identificadas_compleme!A:A, empresas_identificadas_compleme!C:C)</f>
        <v>#N/A</v>
      </c>
    </row>
    <row r="142" spans="1:15" x14ac:dyDescent="0.25">
      <c r="A142">
        <v>5084081000179</v>
      </c>
      <c r="B142" t="s">
        <v>301</v>
      </c>
      <c r="C142">
        <v>2</v>
      </c>
      <c r="E142">
        <v>2014200</v>
      </c>
      <c r="F142" t="s">
        <v>302</v>
      </c>
      <c r="G142" t="s">
        <v>303</v>
      </c>
      <c r="H142">
        <v>87720140</v>
      </c>
      <c r="I142" t="s">
        <v>45</v>
      </c>
      <c r="J142">
        <v>7749</v>
      </c>
      <c r="K142" t="s">
        <v>304</v>
      </c>
      <c r="L142" t="str" cm="1">
        <f t="array" ref="L142">IF(SUMPRODUCT(COUNTIF(empresas_filtradas[[#This Row],[cnpj]:[email]],"*"&amp;#REF!&amp;"*"))&gt;0,"sim","não")</f>
        <v>não</v>
      </c>
      <c r="M142" t="s">
        <v>950</v>
      </c>
      <c r="N142" t="e">
        <f>_xlfn.XLOOKUP(empresas_filtradas[[#This Row],[cnpj]], empresas_identificadas_compleme!A:A, empresas_identificadas_compleme!B:B)</f>
        <v>#N/A</v>
      </c>
      <c r="O142" t="e">
        <f>_xlfn.XLOOKUP(empresas_filtradas[[#This Row],[cnpj]], empresas_identificadas_compleme!A:A, empresas_identificadas_compleme!C:C)</f>
        <v>#N/A</v>
      </c>
    </row>
    <row r="143" spans="1:15" hidden="1" x14ac:dyDescent="0.25">
      <c r="A143">
        <v>331788000119</v>
      </c>
      <c r="B143" t="s">
        <v>15</v>
      </c>
      <c r="C143">
        <v>2</v>
      </c>
      <c r="E143">
        <v>2014200</v>
      </c>
      <c r="F143" t="s">
        <v>305</v>
      </c>
      <c r="G143" t="s">
        <v>306</v>
      </c>
      <c r="H143">
        <v>4703901</v>
      </c>
      <c r="I143" t="s">
        <v>32</v>
      </c>
      <c r="J143">
        <v>7107</v>
      </c>
      <c r="K143" t="s">
        <v>28</v>
      </c>
      <c r="L143" t="str" cm="1">
        <f t="array" ref="L143">IF(SUMPRODUCT(COUNTIF(empresas_filtradas[[#This Row],[cnpj]:[email]],"*"&amp;#REF!&amp;"*"))&gt;0,"sim","não")</f>
        <v>não</v>
      </c>
      <c r="M143" t="s">
        <v>727</v>
      </c>
      <c r="N143" t="str">
        <f>_xlfn.XLOOKUP(empresas_filtradas[[#This Row],[cnpj]], empresas_identificadas_compleme!A:A, empresas_identificadas_compleme!B:B)</f>
        <v>talvez</v>
      </c>
      <c r="O143" t="str">
        <f>_xlfn.XLOOKUP(empresas_filtradas[[#This Row],[cnpj]], empresas_identificadas_compleme!A:A, empresas_identificadas_compleme!C:C)</f>
        <v>80km</v>
      </c>
    </row>
    <row r="144" spans="1:15" hidden="1" x14ac:dyDescent="0.25">
      <c r="A144">
        <v>331788001948</v>
      </c>
      <c r="B144" t="s">
        <v>15</v>
      </c>
      <c r="C144">
        <v>2</v>
      </c>
      <c r="E144">
        <v>2014200</v>
      </c>
      <c r="F144" t="s">
        <v>307</v>
      </c>
      <c r="G144" t="s">
        <v>15</v>
      </c>
      <c r="H144">
        <v>7220080</v>
      </c>
      <c r="I144" t="s">
        <v>32</v>
      </c>
      <c r="J144">
        <v>6477</v>
      </c>
      <c r="K144" t="s">
        <v>28</v>
      </c>
      <c r="L144" t="str" cm="1">
        <f t="array" ref="L144">IF(SUMPRODUCT(COUNTIF(empresas_filtradas[[#This Row],[cnpj]:[email]],"*"&amp;#REF!&amp;"*"))&gt;0,"sim","não")</f>
        <v>não</v>
      </c>
      <c r="M144" t="s">
        <v>728</v>
      </c>
      <c r="N144" t="str">
        <f>_xlfn.XLOOKUP(empresas_filtradas[[#This Row],[cnpj]], empresas_identificadas_compleme!A:A, empresas_identificadas_compleme!B:B)</f>
        <v>talvez</v>
      </c>
      <c r="O144" t="str">
        <f>_xlfn.XLOOKUP(empresas_filtradas[[#This Row],[cnpj]], empresas_identificadas_compleme!A:A, empresas_identificadas_compleme!C:C)</f>
        <v>CTF_APP e 80km</v>
      </c>
    </row>
    <row r="145" spans="1:15" hidden="1" x14ac:dyDescent="0.25">
      <c r="A145" s="1">
        <v>35820448001884</v>
      </c>
      <c r="B145" t="s">
        <v>15</v>
      </c>
      <c r="C145">
        <v>2</v>
      </c>
      <c r="E145">
        <v>2014200</v>
      </c>
      <c r="F145" t="s">
        <v>308</v>
      </c>
      <c r="G145" t="s">
        <v>15</v>
      </c>
      <c r="H145">
        <v>71200030</v>
      </c>
      <c r="I145" t="s">
        <v>40</v>
      </c>
      <c r="J145">
        <v>9701</v>
      </c>
      <c r="K145" t="s">
        <v>33</v>
      </c>
      <c r="L145" t="str" cm="1">
        <f t="array" ref="L145">IF(SUMPRODUCT(COUNTIF(empresas_filtradas[[#This Row],[cnpj]:[email]],"*"&amp;#REF!&amp;"*"))&gt;0,"sim","não")</f>
        <v>não</v>
      </c>
      <c r="M145" t="s">
        <v>727</v>
      </c>
      <c r="N145" t="str">
        <f>_xlfn.XLOOKUP(empresas_filtradas[[#This Row],[cnpj]], empresas_identificadas_compleme!A:A, empresas_identificadas_compleme!B:B)</f>
        <v>talvez</v>
      </c>
      <c r="O145" t="str">
        <f>_xlfn.XLOOKUP(empresas_filtradas[[#This Row],[cnpj]], empresas_identificadas_compleme!A:A, empresas_identificadas_compleme!C:C)</f>
        <v>CTF_APP</v>
      </c>
    </row>
    <row r="146" spans="1:15" hidden="1" x14ac:dyDescent="0.25">
      <c r="A146" s="1">
        <v>35820448009516</v>
      </c>
      <c r="B146" t="s">
        <v>15</v>
      </c>
      <c r="C146">
        <v>2</v>
      </c>
      <c r="E146">
        <v>2014200</v>
      </c>
      <c r="F146" t="s">
        <v>309</v>
      </c>
      <c r="G146" t="s">
        <v>15</v>
      </c>
      <c r="H146">
        <v>17034480</v>
      </c>
      <c r="I146" t="s">
        <v>32</v>
      </c>
      <c r="J146">
        <v>6219</v>
      </c>
      <c r="K146" t="s">
        <v>33</v>
      </c>
      <c r="L146" t="str" cm="1">
        <f t="array" ref="L146">IF(SUMPRODUCT(COUNTIF(empresas_filtradas[[#This Row],[cnpj]:[email]],"*"&amp;#REF!&amp;"*"))&gt;0,"sim","não")</f>
        <v>não</v>
      </c>
      <c r="M146" t="s">
        <v>727</v>
      </c>
      <c r="N146" t="str">
        <f>_xlfn.XLOOKUP(empresas_filtradas[[#This Row],[cnpj]], empresas_identificadas_compleme!A:A, empresas_identificadas_compleme!B:B)</f>
        <v>talvez</v>
      </c>
      <c r="O146" t="str">
        <f>_xlfn.XLOOKUP(empresas_filtradas[[#This Row],[cnpj]], empresas_identificadas_compleme!A:A, empresas_identificadas_compleme!C:C)</f>
        <v>CTF_APP</v>
      </c>
    </row>
    <row r="147" spans="1:15" hidden="1" x14ac:dyDescent="0.25">
      <c r="A147" s="1">
        <v>35820448016644</v>
      </c>
      <c r="B147" t="s">
        <v>15</v>
      </c>
      <c r="C147">
        <v>2</v>
      </c>
      <c r="E147">
        <v>2014200</v>
      </c>
      <c r="F147" t="s">
        <v>310</v>
      </c>
      <c r="G147" t="s">
        <v>26</v>
      </c>
      <c r="H147">
        <v>9380435</v>
      </c>
      <c r="I147" t="s">
        <v>32</v>
      </c>
      <c r="J147">
        <v>6689</v>
      </c>
      <c r="K147" t="s">
        <v>33</v>
      </c>
      <c r="L147" t="str" cm="1">
        <f t="array" ref="L147">IF(SUMPRODUCT(COUNTIF(empresas_filtradas[[#This Row],[cnpj]:[email]],"*"&amp;#REF!&amp;"*"))&gt;0,"sim","não")</f>
        <v>não</v>
      </c>
      <c r="M147" t="s">
        <v>727</v>
      </c>
      <c r="N147" t="str">
        <f>_xlfn.XLOOKUP(empresas_filtradas[[#This Row],[cnpj]], empresas_identificadas_compleme!A:A, empresas_identificadas_compleme!B:B)</f>
        <v>talvez</v>
      </c>
      <c r="O147" t="str">
        <f>_xlfn.XLOOKUP(empresas_filtradas[[#This Row],[cnpj]], empresas_identificadas_compleme!A:A, empresas_identificadas_compleme!C:C)</f>
        <v>80km</v>
      </c>
    </row>
    <row r="148" spans="1:15" hidden="1" x14ac:dyDescent="0.25">
      <c r="A148" s="1">
        <v>35820448017969</v>
      </c>
      <c r="B148" t="s">
        <v>15</v>
      </c>
      <c r="C148">
        <v>2</v>
      </c>
      <c r="E148">
        <v>2014200</v>
      </c>
      <c r="F148" t="s">
        <v>311</v>
      </c>
      <c r="G148" t="s">
        <v>15</v>
      </c>
      <c r="H148">
        <v>29160904</v>
      </c>
      <c r="I148" t="s">
        <v>49</v>
      </c>
      <c r="J148">
        <v>5699</v>
      </c>
      <c r="K148" t="s">
        <v>33</v>
      </c>
      <c r="L148" t="str" cm="1">
        <f t="array" ref="L148">IF(SUMPRODUCT(COUNTIF(empresas_filtradas[[#This Row],[cnpj]:[email]],"*"&amp;#REF!&amp;"*"))&gt;0,"sim","não")</f>
        <v>não</v>
      </c>
      <c r="M148" t="s">
        <v>728</v>
      </c>
      <c r="N148" t="str">
        <f>_xlfn.XLOOKUP(empresas_filtradas[[#This Row],[cnpj]], empresas_identificadas_compleme!A:A, empresas_identificadas_compleme!B:B)</f>
        <v>talvez</v>
      </c>
      <c r="O148" t="str">
        <f>_xlfn.XLOOKUP(empresas_filtradas[[#This Row],[cnpj]], empresas_identificadas_compleme!A:A, empresas_identificadas_compleme!C:C)</f>
        <v>CTF_APP e 80km</v>
      </c>
    </row>
    <row r="149" spans="1:15" hidden="1" x14ac:dyDescent="0.25">
      <c r="A149" s="1">
        <v>35820448018000</v>
      </c>
      <c r="B149" t="s">
        <v>15</v>
      </c>
      <c r="C149">
        <v>2</v>
      </c>
      <c r="E149">
        <v>2014200</v>
      </c>
      <c r="F149" t="s">
        <v>16</v>
      </c>
      <c r="G149" t="s">
        <v>15</v>
      </c>
      <c r="H149">
        <v>29197551</v>
      </c>
      <c r="I149" t="s">
        <v>49</v>
      </c>
      <c r="J149">
        <v>5611</v>
      </c>
      <c r="K149" t="s">
        <v>33</v>
      </c>
      <c r="L149" t="str" cm="1">
        <f t="array" ref="L149">IF(SUMPRODUCT(COUNTIF(empresas_filtradas[[#This Row],[cnpj]:[email]],"*"&amp;#REF!&amp;"*"))&gt;0,"sim","não")</f>
        <v>não</v>
      </c>
      <c r="M149" t="s">
        <v>727</v>
      </c>
      <c r="N149" t="str">
        <f>_xlfn.XLOOKUP(empresas_filtradas[[#This Row],[cnpj]], empresas_identificadas_compleme!A:A, empresas_identificadas_compleme!B:B)</f>
        <v>talvez</v>
      </c>
      <c r="O149" t="str">
        <f>_xlfn.XLOOKUP(empresas_filtradas[[#This Row],[cnpj]], empresas_identificadas_compleme!A:A, empresas_identificadas_compleme!C:C)</f>
        <v>80km</v>
      </c>
    </row>
    <row r="150" spans="1:15" hidden="1" x14ac:dyDescent="0.25">
      <c r="A150" s="1">
        <v>35820448018183</v>
      </c>
      <c r="B150" t="s">
        <v>15</v>
      </c>
      <c r="C150">
        <v>2</v>
      </c>
      <c r="E150">
        <v>2014200</v>
      </c>
      <c r="F150" t="s">
        <v>16</v>
      </c>
      <c r="G150" t="s">
        <v>15</v>
      </c>
      <c r="H150">
        <v>29140080</v>
      </c>
      <c r="I150" t="s">
        <v>49</v>
      </c>
      <c r="J150">
        <v>5625</v>
      </c>
      <c r="K150" t="s">
        <v>33</v>
      </c>
      <c r="L150" t="str" cm="1">
        <f t="array" ref="L150">IF(SUMPRODUCT(COUNTIF(empresas_filtradas[[#This Row],[cnpj]:[email]],"*"&amp;#REF!&amp;"*"))&gt;0,"sim","não")</f>
        <v>não</v>
      </c>
      <c r="M150" t="s">
        <v>728</v>
      </c>
      <c r="N150" t="str">
        <f>_xlfn.XLOOKUP(empresas_filtradas[[#This Row],[cnpj]], empresas_identificadas_compleme!A:A, empresas_identificadas_compleme!B:B)</f>
        <v>talvez</v>
      </c>
      <c r="O150" t="str">
        <f>_xlfn.XLOOKUP(empresas_filtradas[[#This Row],[cnpj]], empresas_identificadas_compleme!A:A, empresas_identificadas_compleme!C:C)</f>
        <v>CTF_APP e 80km</v>
      </c>
    </row>
    <row r="151" spans="1:15" hidden="1" x14ac:dyDescent="0.25">
      <c r="A151">
        <v>60619202003597</v>
      </c>
      <c r="B151" t="s">
        <v>21</v>
      </c>
      <c r="C151">
        <v>2</v>
      </c>
      <c r="E151">
        <v>2014200</v>
      </c>
      <c r="F151" t="s">
        <v>312</v>
      </c>
      <c r="G151" t="s">
        <v>15</v>
      </c>
      <c r="H151">
        <v>81270010</v>
      </c>
      <c r="I151" t="s">
        <v>45</v>
      </c>
      <c r="J151">
        <v>7535</v>
      </c>
      <c r="K151" t="s">
        <v>24</v>
      </c>
      <c r="L151" t="str" cm="1">
        <f t="array" ref="L151">IF(SUMPRODUCT(COUNTIF(empresas_filtradas[[#This Row],[cnpj]:[email]],"*"&amp;#REF!&amp;"*"))&gt;0,"sim","não")</f>
        <v>não</v>
      </c>
      <c r="M151" t="s">
        <v>728</v>
      </c>
      <c r="N151" t="str">
        <f>_xlfn.XLOOKUP(empresas_filtradas[[#This Row],[cnpj]], empresas_identificadas_compleme!A:A, empresas_identificadas_compleme!B:B)</f>
        <v>talvez</v>
      </c>
      <c r="O151" t="str">
        <f>_xlfn.XLOOKUP(empresas_filtradas[[#This Row],[cnpj]], empresas_identificadas_compleme!A:A, empresas_identificadas_compleme!C:C)</f>
        <v>CTF_APP e 80km</v>
      </c>
    </row>
    <row r="152" spans="1:15" x14ac:dyDescent="0.25">
      <c r="A152">
        <v>62531983000220</v>
      </c>
      <c r="B152" t="s">
        <v>15</v>
      </c>
      <c r="C152">
        <v>2</v>
      </c>
      <c r="E152">
        <v>2014200</v>
      </c>
      <c r="F152" t="s">
        <v>313</v>
      </c>
      <c r="G152" t="s">
        <v>314</v>
      </c>
      <c r="H152">
        <v>66010080</v>
      </c>
      <c r="I152" t="s">
        <v>78</v>
      </c>
      <c r="J152">
        <v>427</v>
      </c>
      <c r="K152" t="s">
        <v>15</v>
      </c>
      <c r="L152" t="str" cm="1">
        <f t="array" ref="L152">IF(SUMPRODUCT(COUNTIF(empresas_filtradas[[#This Row],[cnpj]:[email]],"*"&amp;#REF!&amp;"*"))&gt;0,"sim","não")</f>
        <v>não</v>
      </c>
      <c r="M152" t="s">
        <v>950</v>
      </c>
      <c r="N152" t="str">
        <f>_xlfn.XLOOKUP(empresas_filtradas[[#This Row],[cnpj]], empresas_identificadas_compleme!A:A, empresas_identificadas_compleme!B:B)</f>
        <v>incerto</v>
      </c>
      <c r="O152" t="str">
        <f>_xlfn.XLOOKUP(empresas_filtradas[[#This Row],[cnpj]], empresas_identificadas_compleme!A:A, empresas_identificadas_compleme!C:C)</f>
        <v>80km</v>
      </c>
    </row>
    <row r="153" spans="1:15" hidden="1" x14ac:dyDescent="0.25">
      <c r="A153">
        <v>67423152000763</v>
      </c>
      <c r="B153" t="s">
        <v>15</v>
      </c>
      <c r="C153">
        <v>2</v>
      </c>
      <c r="E153">
        <v>2014200</v>
      </c>
      <c r="F153" t="s">
        <v>315</v>
      </c>
      <c r="G153" t="s">
        <v>316</v>
      </c>
      <c r="H153">
        <v>54520600</v>
      </c>
      <c r="I153" t="s">
        <v>92</v>
      </c>
      <c r="J153">
        <v>2357</v>
      </c>
      <c r="K153" t="s">
        <v>317</v>
      </c>
      <c r="L153" t="str" cm="1">
        <f t="array" ref="L153">IF(SUMPRODUCT(COUNTIF(empresas_filtradas[[#This Row],[cnpj]:[email]],"*"&amp;#REF!&amp;"*"))&gt;0,"sim","não")</f>
        <v>não</v>
      </c>
      <c r="M153" t="s">
        <v>951</v>
      </c>
      <c r="N153" t="str">
        <f>_xlfn.XLOOKUP(empresas_filtradas[[#This Row],[cnpj]], empresas_identificadas_compleme!A:A, empresas_identificadas_compleme!B:B)</f>
        <v>talvez</v>
      </c>
      <c r="O153" t="str">
        <f>_xlfn.XLOOKUP(empresas_filtradas[[#This Row],[cnpj]], empresas_identificadas_compleme!A:A, empresas_identificadas_compleme!C:C)</f>
        <v>CTF_APP e 80km</v>
      </c>
    </row>
    <row r="154" spans="1:15" hidden="1" x14ac:dyDescent="0.25">
      <c r="A154">
        <v>60619202001209</v>
      </c>
      <c r="B154" t="s">
        <v>21</v>
      </c>
      <c r="C154">
        <v>2</v>
      </c>
      <c r="E154">
        <v>2014200</v>
      </c>
      <c r="F154" t="s">
        <v>16</v>
      </c>
      <c r="G154" t="s">
        <v>318</v>
      </c>
      <c r="H154">
        <v>54335000</v>
      </c>
      <c r="I154" t="s">
        <v>92</v>
      </c>
      <c r="J154">
        <v>2457</v>
      </c>
      <c r="K154" t="s">
        <v>24</v>
      </c>
      <c r="L154" t="str" cm="1">
        <f t="array" ref="L154">IF(SUMPRODUCT(COUNTIF(empresas_filtradas[[#This Row],[cnpj]:[email]],"*"&amp;#REF!&amp;"*"))&gt;0,"sim","não")</f>
        <v>não</v>
      </c>
      <c r="M154" t="s">
        <v>728</v>
      </c>
      <c r="N154" t="str">
        <f>_xlfn.XLOOKUP(empresas_filtradas[[#This Row],[cnpj]], empresas_identificadas_compleme!A:A, empresas_identificadas_compleme!B:B)</f>
        <v>talvez</v>
      </c>
      <c r="O154" t="str">
        <f>_xlfn.XLOOKUP(empresas_filtradas[[#This Row],[cnpj]], empresas_identificadas_compleme!A:A, empresas_identificadas_compleme!C:C)</f>
        <v>CTF_APP e 80km</v>
      </c>
    </row>
    <row r="155" spans="1:15" hidden="1" x14ac:dyDescent="0.25">
      <c r="A155">
        <v>331788002162</v>
      </c>
      <c r="B155" t="s">
        <v>38</v>
      </c>
      <c r="C155">
        <v>2</v>
      </c>
      <c r="E155">
        <v>2014200</v>
      </c>
      <c r="F155" t="s">
        <v>319</v>
      </c>
      <c r="G155" t="s">
        <v>15</v>
      </c>
      <c r="H155">
        <v>43721445</v>
      </c>
      <c r="I155" t="s">
        <v>60</v>
      </c>
      <c r="J155">
        <v>3913</v>
      </c>
      <c r="K155" t="s">
        <v>28</v>
      </c>
      <c r="L155" t="str" cm="1">
        <f t="array" ref="L155">IF(SUMPRODUCT(COUNTIF(empresas_filtradas[[#This Row],[cnpj]:[email]],"*"&amp;#REF!&amp;"*"))&gt;0,"sim","não")</f>
        <v>não</v>
      </c>
      <c r="M155" t="s">
        <v>728</v>
      </c>
      <c r="N155" t="str">
        <f>_xlfn.XLOOKUP(empresas_filtradas[[#This Row],[cnpj]], empresas_identificadas_compleme!A:A, empresas_identificadas_compleme!B:B)</f>
        <v>talvez</v>
      </c>
      <c r="O155" t="str">
        <f>_xlfn.XLOOKUP(empresas_filtradas[[#This Row],[cnpj]], empresas_identificadas_compleme!A:A, empresas_identificadas_compleme!C:C)</f>
        <v>CTF_APP e 80km</v>
      </c>
    </row>
    <row r="156" spans="1:15" hidden="1" x14ac:dyDescent="0.25">
      <c r="A156">
        <v>34597955001323</v>
      </c>
      <c r="B156" t="s">
        <v>15</v>
      </c>
      <c r="C156">
        <v>2</v>
      </c>
      <c r="E156">
        <v>2014200</v>
      </c>
      <c r="F156" t="s">
        <v>196</v>
      </c>
      <c r="G156" t="s">
        <v>320</v>
      </c>
      <c r="H156">
        <v>66820000</v>
      </c>
      <c r="I156" t="s">
        <v>78</v>
      </c>
      <c r="J156">
        <v>427</v>
      </c>
      <c r="K156" t="s">
        <v>247</v>
      </c>
      <c r="L156" t="str" cm="1">
        <f t="array" ref="L156">IF(SUMPRODUCT(COUNTIF(empresas_filtradas[[#This Row],[cnpj]:[email]],"*"&amp;#REF!&amp;"*"))&gt;0,"sim","não")</f>
        <v>não</v>
      </c>
      <c r="M156" t="s">
        <v>728</v>
      </c>
      <c r="N156" t="str">
        <f>_xlfn.XLOOKUP(empresas_filtradas[[#This Row],[cnpj]], empresas_identificadas_compleme!A:A, empresas_identificadas_compleme!B:B)</f>
        <v>talvez</v>
      </c>
      <c r="O156" t="str">
        <f>_xlfn.XLOOKUP(empresas_filtradas[[#This Row],[cnpj]], empresas_identificadas_compleme!A:A, empresas_identificadas_compleme!C:C)</f>
        <v>CTF_APP e 80km</v>
      </c>
    </row>
    <row r="157" spans="1:15" hidden="1" x14ac:dyDescent="0.25">
      <c r="A157" s="1">
        <v>35820448013548</v>
      </c>
      <c r="B157" t="s">
        <v>15</v>
      </c>
      <c r="C157">
        <v>2</v>
      </c>
      <c r="E157">
        <v>2014200</v>
      </c>
      <c r="F157" t="s">
        <v>321</v>
      </c>
      <c r="G157" t="s">
        <v>15</v>
      </c>
      <c r="H157">
        <v>35930395</v>
      </c>
      <c r="I157" t="s">
        <v>17</v>
      </c>
      <c r="J157">
        <v>4723</v>
      </c>
      <c r="K157" t="s">
        <v>33</v>
      </c>
      <c r="L157" t="str" cm="1">
        <f t="array" ref="L157">IF(SUMPRODUCT(COUNTIF(empresas_filtradas[[#This Row],[cnpj]:[email]],"*"&amp;#REF!&amp;"*"))&gt;0,"sim","não")</f>
        <v>não</v>
      </c>
      <c r="M157" t="s">
        <v>728</v>
      </c>
      <c r="N157" t="str">
        <f>_xlfn.XLOOKUP(empresas_filtradas[[#This Row],[cnpj]], empresas_identificadas_compleme!A:A, empresas_identificadas_compleme!B:B)</f>
        <v>talvez</v>
      </c>
      <c r="O157" t="str">
        <f>_xlfn.XLOOKUP(empresas_filtradas[[#This Row],[cnpj]], empresas_identificadas_compleme!A:A, empresas_identificadas_compleme!C:C)</f>
        <v>CTF_APP e 80km</v>
      </c>
    </row>
    <row r="158" spans="1:15" hidden="1" x14ac:dyDescent="0.25">
      <c r="A158">
        <v>331788002324</v>
      </c>
      <c r="B158" t="s">
        <v>15</v>
      </c>
      <c r="C158">
        <v>2</v>
      </c>
      <c r="E158">
        <v>2014200</v>
      </c>
      <c r="F158" t="s">
        <v>322</v>
      </c>
      <c r="G158" t="s">
        <v>15</v>
      </c>
      <c r="H158">
        <v>4220002</v>
      </c>
      <c r="I158" t="s">
        <v>32</v>
      </c>
      <c r="J158">
        <v>7107</v>
      </c>
      <c r="K158" t="s">
        <v>28</v>
      </c>
      <c r="L158" t="str" cm="1">
        <f t="array" ref="L158">IF(SUMPRODUCT(COUNTIF(empresas_filtradas[[#This Row],[cnpj]:[email]],"*"&amp;#REF!&amp;"*"))&gt;0,"sim","não")</f>
        <v>não</v>
      </c>
      <c r="M158" t="s">
        <v>728</v>
      </c>
      <c r="N158" t="str">
        <f>_xlfn.XLOOKUP(empresas_filtradas[[#This Row],[cnpj]], empresas_identificadas_compleme!A:A, empresas_identificadas_compleme!B:B)</f>
        <v>talvez</v>
      </c>
      <c r="O158" t="str">
        <f>_xlfn.XLOOKUP(empresas_filtradas[[#This Row],[cnpj]], empresas_identificadas_compleme!A:A, empresas_identificadas_compleme!C:C)</f>
        <v>CTF_APP e 80km</v>
      </c>
    </row>
    <row r="159" spans="1:15" hidden="1" x14ac:dyDescent="0.25">
      <c r="A159">
        <v>2706738000102</v>
      </c>
      <c r="B159" t="s">
        <v>323</v>
      </c>
      <c r="C159">
        <v>2</v>
      </c>
      <c r="E159">
        <v>2014200</v>
      </c>
      <c r="F159" t="s">
        <v>324</v>
      </c>
      <c r="G159" t="s">
        <v>325</v>
      </c>
      <c r="H159">
        <v>43700000</v>
      </c>
      <c r="I159" t="s">
        <v>60</v>
      </c>
      <c r="J159">
        <v>3913</v>
      </c>
      <c r="K159" t="s">
        <v>326</v>
      </c>
      <c r="L159" t="str" cm="1">
        <f t="array" ref="L159">IF(SUMPRODUCT(COUNTIF(empresas_filtradas[[#This Row],[cnpj]:[email]],"*"&amp;#REF!&amp;"*"))&gt;0,"sim","não")</f>
        <v>não</v>
      </c>
      <c r="M159" t="s">
        <v>951</v>
      </c>
      <c r="N159" t="str">
        <f>_xlfn.XLOOKUP(empresas_filtradas[[#This Row],[cnpj]], empresas_identificadas_compleme!A:A, empresas_identificadas_compleme!B:B)</f>
        <v>produz_h2</v>
      </c>
      <c r="O159" t="str">
        <f>_xlfn.XLOOKUP(empresas_filtradas[[#This Row],[cnpj]], empresas_identificadas_compleme!A:A, empresas_identificadas_compleme!C:C)</f>
        <v>80km</v>
      </c>
    </row>
    <row r="160" spans="1:15" hidden="1" x14ac:dyDescent="0.25">
      <c r="A160" s="1">
        <v>35820448004476</v>
      </c>
      <c r="B160" t="s">
        <v>15</v>
      </c>
      <c r="C160">
        <v>2</v>
      </c>
      <c r="E160">
        <v>2014200</v>
      </c>
      <c r="F160" t="s">
        <v>16</v>
      </c>
      <c r="G160" t="s">
        <v>15</v>
      </c>
      <c r="H160">
        <v>35960000</v>
      </c>
      <c r="I160" t="s">
        <v>17</v>
      </c>
      <c r="J160">
        <v>5143</v>
      </c>
      <c r="K160" t="s">
        <v>33</v>
      </c>
      <c r="L160" t="str" cm="1">
        <f t="array" ref="L160">IF(SUMPRODUCT(COUNTIF(empresas_filtradas[[#This Row],[cnpj]:[email]],"*"&amp;#REF!&amp;"*"))&gt;0,"sim","não")</f>
        <v>não</v>
      </c>
      <c r="M160" t="s">
        <v>728</v>
      </c>
      <c r="N160" t="str">
        <f>_xlfn.XLOOKUP(empresas_filtradas[[#This Row],[cnpj]], empresas_identificadas_compleme!A:A, empresas_identificadas_compleme!B:B)</f>
        <v>talvez</v>
      </c>
      <c r="O160" t="str">
        <f>_xlfn.XLOOKUP(empresas_filtradas[[#This Row],[cnpj]], empresas_identificadas_compleme!A:A, empresas_identificadas_compleme!C:C)</f>
        <v>CTF_APP e 80km</v>
      </c>
    </row>
    <row r="161" spans="1:15" hidden="1" x14ac:dyDescent="0.25">
      <c r="A161">
        <v>60619202002515</v>
      </c>
      <c r="B161" t="s">
        <v>21</v>
      </c>
      <c r="C161">
        <v>2</v>
      </c>
      <c r="E161">
        <v>2014200</v>
      </c>
      <c r="F161" t="s">
        <v>327</v>
      </c>
      <c r="G161" t="s">
        <v>328</v>
      </c>
      <c r="H161">
        <v>14165428</v>
      </c>
      <c r="I161" t="s">
        <v>32</v>
      </c>
      <c r="J161">
        <v>7135</v>
      </c>
      <c r="K161" t="s">
        <v>24</v>
      </c>
      <c r="L161" t="str" cm="1">
        <f t="array" ref="L161">IF(SUMPRODUCT(COUNTIF(empresas_filtradas[[#This Row],[cnpj]:[email]],"*"&amp;#REF!&amp;"*"))&gt;0,"sim","não")</f>
        <v>não</v>
      </c>
      <c r="M161" t="s">
        <v>727</v>
      </c>
      <c r="N161" t="str">
        <f>_xlfn.XLOOKUP(empresas_filtradas[[#This Row],[cnpj]], empresas_identificadas_compleme!A:A, empresas_identificadas_compleme!B:B)</f>
        <v>talvez</v>
      </c>
      <c r="O161" t="str">
        <f>_xlfn.XLOOKUP(empresas_filtradas[[#This Row],[cnpj]], empresas_identificadas_compleme!A:A, empresas_identificadas_compleme!C:C)</f>
        <v>CTF_APP</v>
      </c>
    </row>
    <row r="162" spans="1:15" hidden="1" x14ac:dyDescent="0.25">
      <c r="A162">
        <v>331788002758</v>
      </c>
      <c r="B162" t="s">
        <v>38</v>
      </c>
      <c r="C162">
        <v>2</v>
      </c>
      <c r="E162">
        <v>2014200</v>
      </c>
      <c r="F162" t="s">
        <v>329</v>
      </c>
      <c r="G162" t="s">
        <v>15</v>
      </c>
      <c r="H162">
        <v>92320110</v>
      </c>
      <c r="I162" t="s">
        <v>117</v>
      </c>
      <c r="J162">
        <v>8589</v>
      </c>
      <c r="K162" t="s">
        <v>28</v>
      </c>
      <c r="L162" t="str" cm="1">
        <f t="array" ref="L162">IF(SUMPRODUCT(COUNTIF(empresas_filtradas[[#This Row],[cnpj]:[email]],"*"&amp;#REF!&amp;"*"))&gt;0,"sim","não")</f>
        <v>não</v>
      </c>
      <c r="M162" t="s">
        <v>728</v>
      </c>
      <c r="N162" t="str">
        <f>_xlfn.XLOOKUP(empresas_filtradas[[#This Row],[cnpj]], empresas_identificadas_compleme!A:A, empresas_identificadas_compleme!B:B)</f>
        <v>talvez</v>
      </c>
      <c r="O162" t="str">
        <f>_xlfn.XLOOKUP(empresas_filtradas[[#This Row],[cnpj]], empresas_identificadas_compleme!A:A, empresas_identificadas_compleme!C:C)</f>
        <v>CTF_APP e 80km</v>
      </c>
    </row>
    <row r="163" spans="1:15" x14ac:dyDescent="0.25">
      <c r="A163">
        <v>4394125000285</v>
      </c>
      <c r="B163" t="s">
        <v>15</v>
      </c>
      <c r="C163">
        <v>3</v>
      </c>
      <c r="E163">
        <v>2014200</v>
      </c>
      <c r="F163" t="s">
        <v>118</v>
      </c>
      <c r="G163" t="s">
        <v>330</v>
      </c>
      <c r="H163">
        <v>22640100</v>
      </c>
      <c r="I163" t="s">
        <v>27</v>
      </c>
      <c r="J163">
        <v>6001</v>
      </c>
      <c r="K163" t="s">
        <v>15</v>
      </c>
      <c r="L163" t="str" cm="1">
        <f t="array" ref="L163">IF(SUMPRODUCT(COUNTIF(empresas_filtradas[[#This Row],[cnpj]:[email]],"*"&amp;#REF!&amp;"*"))&gt;0,"sim","não")</f>
        <v>não</v>
      </c>
      <c r="M163" t="s">
        <v>950</v>
      </c>
      <c r="N163" t="str">
        <f>_xlfn.XLOOKUP(empresas_filtradas[[#This Row],[cnpj]], empresas_identificadas_compleme!A:A, empresas_identificadas_compleme!B:B)</f>
        <v>incerto</v>
      </c>
      <c r="O163" t="str">
        <f>_xlfn.XLOOKUP(empresas_filtradas[[#This Row],[cnpj]], empresas_identificadas_compleme!A:A, empresas_identificadas_compleme!C:C)</f>
        <v>80km</v>
      </c>
    </row>
    <row r="164" spans="1:15" hidden="1" x14ac:dyDescent="0.25">
      <c r="A164" s="1">
        <v>35820448014005</v>
      </c>
      <c r="B164" t="s">
        <v>15</v>
      </c>
      <c r="C164">
        <v>2</v>
      </c>
      <c r="E164">
        <v>2014200</v>
      </c>
      <c r="F164" t="s">
        <v>331</v>
      </c>
      <c r="G164" t="s">
        <v>15</v>
      </c>
      <c r="H164">
        <v>27211130</v>
      </c>
      <c r="I164" t="s">
        <v>27</v>
      </c>
      <c r="J164">
        <v>5925</v>
      </c>
      <c r="K164" t="s">
        <v>33</v>
      </c>
      <c r="L164" t="str" cm="1">
        <f t="array" ref="L164">IF(SUMPRODUCT(COUNTIF(empresas_filtradas[[#This Row],[cnpj]:[email]],"*"&amp;#REF!&amp;"*"))&gt;0,"sim","não")</f>
        <v>não</v>
      </c>
      <c r="M164" t="s">
        <v>728</v>
      </c>
      <c r="N164" t="str">
        <f>_xlfn.XLOOKUP(empresas_filtradas[[#This Row],[cnpj]], empresas_identificadas_compleme!A:A, empresas_identificadas_compleme!B:B)</f>
        <v>talvez</v>
      </c>
      <c r="O164" t="str">
        <f>_xlfn.XLOOKUP(empresas_filtradas[[#This Row],[cnpj]], empresas_identificadas_compleme!A:A, empresas_identificadas_compleme!C:C)</f>
        <v>CTF_APP e 80km</v>
      </c>
    </row>
    <row r="165" spans="1:15" hidden="1" x14ac:dyDescent="0.25">
      <c r="A165" s="1">
        <v>35820448008544</v>
      </c>
      <c r="B165" t="s">
        <v>15</v>
      </c>
      <c r="C165">
        <v>2</v>
      </c>
      <c r="E165">
        <v>2014200</v>
      </c>
      <c r="F165" t="s">
        <v>332</v>
      </c>
      <c r="G165" t="s">
        <v>15</v>
      </c>
      <c r="H165">
        <v>13064798</v>
      </c>
      <c r="I165" t="s">
        <v>32</v>
      </c>
      <c r="J165">
        <v>6291</v>
      </c>
      <c r="K165" t="s">
        <v>33</v>
      </c>
      <c r="L165" t="str" cm="1">
        <f t="array" ref="L165">IF(SUMPRODUCT(COUNTIF(empresas_filtradas[[#This Row],[cnpj]:[email]],"*"&amp;#REF!&amp;"*"))&gt;0,"sim","não")</f>
        <v>não</v>
      </c>
      <c r="M165" t="s">
        <v>727</v>
      </c>
      <c r="N165" t="str">
        <f>_xlfn.XLOOKUP(empresas_filtradas[[#This Row],[cnpj]], empresas_identificadas_compleme!A:A, empresas_identificadas_compleme!B:B)</f>
        <v>talvez</v>
      </c>
      <c r="O165" t="str">
        <f>_xlfn.XLOOKUP(empresas_filtradas[[#This Row],[cnpj]], empresas_identificadas_compleme!A:A, empresas_identificadas_compleme!C:C)</f>
        <v>80km</v>
      </c>
    </row>
    <row r="166" spans="1:15" hidden="1" x14ac:dyDescent="0.25">
      <c r="A166">
        <v>9349221000144</v>
      </c>
      <c r="B166" t="s">
        <v>15</v>
      </c>
      <c r="C166">
        <v>2</v>
      </c>
      <c r="E166">
        <v>2014200</v>
      </c>
      <c r="F166" t="s">
        <v>333</v>
      </c>
      <c r="G166" t="s">
        <v>156</v>
      </c>
      <c r="H166">
        <v>23570000</v>
      </c>
      <c r="I166" t="s">
        <v>27</v>
      </c>
      <c r="J166">
        <v>6001</v>
      </c>
      <c r="K166" t="s">
        <v>953</v>
      </c>
      <c r="L166" t="str" cm="1">
        <f t="array" ref="L166">IF(SUMPRODUCT(COUNTIF(empresas_filtradas[[#This Row],[cnpj]:[email]],"*"&amp;#REF!&amp;"*"))&gt;0,"sim","não")</f>
        <v>não</v>
      </c>
      <c r="M166" t="s">
        <v>727</v>
      </c>
      <c r="N166" t="str">
        <f>_xlfn.XLOOKUP(empresas_filtradas[[#This Row],[cnpj]], empresas_identificadas_compleme!A:A, empresas_identificadas_compleme!B:B)</f>
        <v>talvez</v>
      </c>
      <c r="O166" t="str">
        <f>_xlfn.XLOOKUP(empresas_filtradas[[#This Row],[cnpj]], empresas_identificadas_compleme!A:A, empresas_identificadas_compleme!C:C)</f>
        <v>CTF_APP e 80km</v>
      </c>
    </row>
    <row r="167" spans="1:15" x14ac:dyDescent="0.25">
      <c r="A167">
        <v>10365778000158</v>
      </c>
      <c r="B167" t="s">
        <v>334</v>
      </c>
      <c r="C167">
        <v>2</v>
      </c>
      <c r="E167">
        <v>2014200</v>
      </c>
      <c r="F167" t="s">
        <v>335</v>
      </c>
      <c r="G167" t="s">
        <v>336</v>
      </c>
      <c r="H167">
        <v>74369705</v>
      </c>
      <c r="I167" t="s">
        <v>173</v>
      </c>
      <c r="J167">
        <v>9373</v>
      </c>
      <c r="K167" t="s">
        <v>337</v>
      </c>
      <c r="L167" t="str" cm="1">
        <f t="array" ref="L167">IF(SUMPRODUCT(COUNTIF(empresas_filtradas[[#This Row],[cnpj]:[email]],"*"&amp;#REF!&amp;"*"))&gt;0,"sim","não")</f>
        <v>não</v>
      </c>
      <c r="M167" t="s">
        <v>950</v>
      </c>
      <c r="N167" t="e">
        <f>_xlfn.XLOOKUP(empresas_filtradas[[#This Row],[cnpj]], empresas_identificadas_compleme!A:A, empresas_identificadas_compleme!B:B)</f>
        <v>#N/A</v>
      </c>
      <c r="O167" t="e">
        <f>_xlfn.XLOOKUP(empresas_filtradas[[#This Row],[cnpj]], empresas_identificadas_compleme!A:A, empresas_identificadas_compleme!C:C)</f>
        <v>#N/A</v>
      </c>
    </row>
    <row r="168" spans="1:15" x14ac:dyDescent="0.25">
      <c r="A168">
        <v>10590049000103</v>
      </c>
      <c r="B168" t="s">
        <v>338</v>
      </c>
      <c r="C168">
        <v>2</v>
      </c>
      <c r="E168">
        <v>2014200</v>
      </c>
      <c r="F168" t="s">
        <v>339</v>
      </c>
      <c r="G168" t="s">
        <v>340</v>
      </c>
      <c r="H168">
        <v>19913520</v>
      </c>
      <c r="I168" t="s">
        <v>32</v>
      </c>
      <c r="J168">
        <v>6795</v>
      </c>
      <c r="K168" t="s">
        <v>341</v>
      </c>
      <c r="L168" t="str" cm="1">
        <f t="array" ref="L168">IF(SUMPRODUCT(COUNTIF(empresas_filtradas[[#This Row],[cnpj]:[email]],"*"&amp;#REF!&amp;"*"))&gt;0,"sim","não")</f>
        <v>não</v>
      </c>
      <c r="M168" t="s">
        <v>950</v>
      </c>
      <c r="N168" t="str">
        <f>_xlfn.XLOOKUP(empresas_filtradas[[#This Row],[cnpj]], empresas_identificadas_compleme!A:A, empresas_identificadas_compleme!B:B)</f>
        <v>talvez</v>
      </c>
      <c r="O168">
        <f>_xlfn.XLOOKUP(empresas_filtradas[[#This Row],[cnpj]], empresas_identificadas_compleme!A:A, empresas_identificadas_compleme!C:C)</f>
        <v>0</v>
      </c>
    </row>
    <row r="169" spans="1:15" x14ac:dyDescent="0.25">
      <c r="A169" s="1">
        <v>10636239000106</v>
      </c>
      <c r="B169" t="s">
        <v>15</v>
      </c>
      <c r="C169">
        <v>2</v>
      </c>
      <c r="E169">
        <v>2014200</v>
      </c>
      <c r="F169" t="s">
        <v>342</v>
      </c>
      <c r="G169" t="s">
        <v>15</v>
      </c>
      <c r="H169">
        <v>13424480</v>
      </c>
      <c r="I169" t="s">
        <v>32</v>
      </c>
      <c r="J169">
        <v>6875</v>
      </c>
      <c r="K169" t="s">
        <v>343</v>
      </c>
      <c r="L169" t="str" cm="1">
        <f t="array" ref="L169">IF(SUMPRODUCT(COUNTIF(empresas_filtradas[[#This Row],[cnpj]:[email]],"*"&amp;#REF!&amp;"*"))&gt;0,"sim","não")</f>
        <v>não</v>
      </c>
      <c r="M169" t="s">
        <v>950</v>
      </c>
      <c r="N169" t="str">
        <f>_xlfn.XLOOKUP(empresas_filtradas[[#This Row],[cnpj]], empresas_identificadas_compleme!A:A, empresas_identificadas_compleme!B:B)</f>
        <v>talvez</v>
      </c>
      <c r="O169" t="str">
        <f>_xlfn.XLOOKUP(empresas_filtradas[[#This Row],[cnpj]], empresas_identificadas_compleme!A:A, empresas_identificadas_compleme!C:C)</f>
        <v>80km</v>
      </c>
    </row>
    <row r="170" spans="1:15" hidden="1" x14ac:dyDescent="0.25">
      <c r="A170" s="1">
        <v>35820448019589</v>
      </c>
      <c r="B170" t="s">
        <v>15</v>
      </c>
      <c r="C170">
        <v>2</v>
      </c>
      <c r="E170">
        <v>2014200</v>
      </c>
      <c r="F170" t="s">
        <v>16</v>
      </c>
      <c r="G170" t="s">
        <v>15</v>
      </c>
      <c r="H170">
        <v>35498000</v>
      </c>
      <c r="I170" t="s">
        <v>17</v>
      </c>
      <c r="J170">
        <v>4707</v>
      </c>
      <c r="K170" t="s">
        <v>33</v>
      </c>
      <c r="L170" t="str" cm="1">
        <f t="array" ref="L170">IF(SUMPRODUCT(COUNTIF(empresas_filtradas[[#This Row],[cnpj]:[email]],"*"&amp;#REF!&amp;"*"))&gt;0,"sim","não")</f>
        <v>não</v>
      </c>
      <c r="M170" t="s">
        <v>728</v>
      </c>
      <c r="N170" t="str">
        <f>_xlfn.XLOOKUP(empresas_filtradas[[#This Row],[cnpj]], empresas_identificadas_compleme!A:A, empresas_identificadas_compleme!B:B)</f>
        <v>talvez</v>
      </c>
      <c r="O170" t="str">
        <f>_xlfn.XLOOKUP(empresas_filtradas[[#This Row],[cnpj]], empresas_identificadas_compleme!A:A, empresas_identificadas_compleme!C:C)</f>
        <v>CTF_APP e 80km</v>
      </c>
    </row>
    <row r="171" spans="1:15" x14ac:dyDescent="0.25">
      <c r="A171">
        <v>11336057000182</v>
      </c>
      <c r="B171" t="s">
        <v>344</v>
      </c>
      <c r="C171">
        <v>2</v>
      </c>
      <c r="E171">
        <v>2014200</v>
      </c>
      <c r="F171" t="s">
        <v>345</v>
      </c>
      <c r="G171" t="s">
        <v>15</v>
      </c>
      <c r="H171">
        <v>14874002</v>
      </c>
      <c r="I171" t="s">
        <v>32</v>
      </c>
      <c r="J171">
        <v>6587</v>
      </c>
      <c r="K171" t="s">
        <v>346</v>
      </c>
      <c r="L171" t="str" cm="1">
        <f t="array" ref="L171">IF(SUMPRODUCT(COUNTIF(empresas_filtradas[[#This Row],[cnpj]:[email]],"*"&amp;#REF!&amp;"*"))&gt;0,"sim","não")</f>
        <v>não</v>
      </c>
      <c r="M171" t="s">
        <v>950</v>
      </c>
      <c r="N171" t="str">
        <f>_xlfn.XLOOKUP(empresas_filtradas[[#This Row],[cnpj]], empresas_identificadas_compleme!A:A, empresas_identificadas_compleme!B:B)</f>
        <v>talvez</v>
      </c>
      <c r="O171">
        <f>_xlfn.XLOOKUP(empresas_filtradas[[#This Row],[cnpj]], empresas_identificadas_compleme!A:A, empresas_identificadas_compleme!C:C)</f>
        <v>0</v>
      </c>
    </row>
    <row r="172" spans="1:15" hidden="1" x14ac:dyDescent="0.25">
      <c r="A172">
        <v>331788006311</v>
      </c>
      <c r="B172" t="s">
        <v>276</v>
      </c>
      <c r="C172">
        <v>2</v>
      </c>
      <c r="E172">
        <v>2014200</v>
      </c>
      <c r="F172" t="s">
        <v>196</v>
      </c>
      <c r="G172" t="s">
        <v>15</v>
      </c>
      <c r="H172">
        <v>65919050</v>
      </c>
      <c r="I172" t="s">
        <v>56</v>
      </c>
      <c r="J172">
        <v>803</v>
      </c>
      <c r="K172" t="s">
        <v>28</v>
      </c>
      <c r="L172" t="str" cm="1">
        <f t="array" ref="L172">IF(SUMPRODUCT(COUNTIF(empresas_filtradas[[#This Row],[cnpj]:[email]],"*"&amp;#REF!&amp;"*"))&gt;0,"sim","não")</f>
        <v>não</v>
      </c>
      <c r="M172" t="s">
        <v>727</v>
      </c>
      <c r="N172" t="str">
        <f>_xlfn.XLOOKUP(empresas_filtradas[[#This Row],[cnpj]], empresas_identificadas_compleme!A:A, empresas_identificadas_compleme!B:B)</f>
        <v>talvez</v>
      </c>
      <c r="O172" t="str">
        <f>_xlfn.XLOOKUP(empresas_filtradas[[#This Row],[cnpj]], empresas_identificadas_compleme!A:A, empresas_identificadas_compleme!C:C)</f>
        <v>CTF_APP</v>
      </c>
    </row>
    <row r="173" spans="1:15" hidden="1" x14ac:dyDescent="0.25">
      <c r="A173" s="1">
        <v>35820448020242</v>
      </c>
      <c r="B173" t="s">
        <v>15</v>
      </c>
      <c r="C173">
        <v>2</v>
      </c>
      <c r="E173">
        <v>2014200</v>
      </c>
      <c r="F173" t="s">
        <v>18</v>
      </c>
      <c r="G173" t="s">
        <v>15</v>
      </c>
      <c r="H173">
        <v>30640010</v>
      </c>
      <c r="I173" t="s">
        <v>17</v>
      </c>
      <c r="J173">
        <v>4123</v>
      </c>
      <c r="K173" t="s">
        <v>33</v>
      </c>
      <c r="L173" t="str" cm="1">
        <f t="array" ref="L173">IF(SUMPRODUCT(COUNTIF(empresas_filtradas[[#This Row],[cnpj]:[email]],"*"&amp;#REF!&amp;"*"))&gt;0,"sim","não")</f>
        <v>não</v>
      </c>
      <c r="M173" t="s">
        <v>728</v>
      </c>
      <c r="N173" t="str">
        <f>_xlfn.XLOOKUP(empresas_filtradas[[#This Row],[cnpj]], empresas_identificadas_compleme!A:A, empresas_identificadas_compleme!B:B)</f>
        <v>talvez</v>
      </c>
      <c r="O173" t="str">
        <f>_xlfn.XLOOKUP(empresas_filtradas[[#This Row],[cnpj]], empresas_identificadas_compleme!A:A, empresas_identificadas_compleme!C:C)</f>
        <v>CTF_APP e 80km</v>
      </c>
    </row>
    <row r="174" spans="1:15" hidden="1" x14ac:dyDescent="0.25">
      <c r="A174" s="1">
        <v>35820448020595</v>
      </c>
      <c r="B174" t="s">
        <v>15</v>
      </c>
      <c r="C174">
        <v>2</v>
      </c>
      <c r="E174">
        <v>2014200</v>
      </c>
      <c r="F174" t="s">
        <v>16</v>
      </c>
      <c r="G174" t="s">
        <v>347</v>
      </c>
      <c r="H174">
        <v>88820000</v>
      </c>
      <c r="I174" t="s">
        <v>65</v>
      </c>
      <c r="J174">
        <v>8137</v>
      </c>
      <c r="K174" t="s">
        <v>33</v>
      </c>
      <c r="L174" t="str" cm="1">
        <f t="array" ref="L174">IF(SUMPRODUCT(COUNTIF(empresas_filtradas[[#This Row],[cnpj]:[email]],"*"&amp;#REF!&amp;"*"))&gt;0,"sim","não")</f>
        <v>não</v>
      </c>
      <c r="M174" t="s">
        <v>727</v>
      </c>
      <c r="N174" t="str">
        <f>_xlfn.XLOOKUP(empresas_filtradas[[#This Row],[cnpj]], empresas_identificadas_compleme!A:A, empresas_identificadas_compleme!B:B)</f>
        <v>talvez</v>
      </c>
      <c r="O174">
        <f>_xlfn.XLOOKUP(empresas_filtradas[[#This Row],[cnpj]], empresas_identificadas_compleme!A:A, empresas_identificadas_compleme!C:C)</f>
        <v>0</v>
      </c>
    </row>
    <row r="175" spans="1:15" hidden="1" x14ac:dyDescent="0.25">
      <c r="A175">
        <v>74481011000410</v>
      </c>
      <c r="B175" t="s">
        <v>348</v>
      </c>
      <c r="C175">
        <v>2</v>
      </c>
      <c r="E175">
        <v>2014200</v>
      </c>
      <c r="F175" t="s">
        <v>349</v>
      </c>
      <c r="G175" t="s">
        <v>350</v>
      </c>
      <c r="H175">
        <v>88850000</v>
      </c>
      <c r="I175" t="s">
        <v>65</v>
      </c>
      <c r="J175">
        <v>973</v>
      </c>
      <c r="K175" t="s">
        <v>351</v>
      </c>
      <c r="L175" t="str" cm="1">
        <f t="array" ref="L175">IF(SUMPRODUCT(COUNTIF(empresas_filtradas[[#This Row],[cnpj]:[email]],"*"&amp;#REF!&amp;"*"))&gt;0,"sim","não")</f>
        <v>não</v>
      </c>
      <c r="M175" t="s">
        <v>951</v>
      </c>
      <c r="N175" t="str">
        <f>_xlfn.XLOOKUP(empresas_filtradas[[#This Row],[cnpj]], empresas_identificadas_compleme!A:A, empresas_identificadas_compleme!B:B)</f>
        <v>talvez</v>
      </c>
      <c r="O175" t="str">
        <f>_xlfn.XLOOKUP(empresas_filtradas[[#This Row],[cnpj]], empresas_identificadas_compleme!A:A, empresas_identificadas_compleme!C:C)</f>
        <v>CTF_APP</v>
      </c>
    </row>
    <row r="176" spans="1:15" hidden="1" x14ac:dyDescent="0.25">
      <c r="A176">
        <v>66358979000263</v>
      </c>
      <c r="B176" t="s">
        <v>15</v>
      </c>
      <c r="C176">
        <v>2</v>
      </c>
      <c r="E176">
        <v>2014200</v>
      </c>
      <c r="F176" t="s">
        <v>142</v>
      </c>
      <c r="G176" t="s">
        <v>352</v>
      </c>
      <c r="H176">
        <v>32400001</v>
      </c>
      <c r="I176" t="s">
        <v>17</v>
      </c>
      <c r="J176">
        <v>4595</v>
      </c>
      <c r="K176" t="s">
        <v>257</v>
      </c>
      <c r="L176" t="str" cm="1">
        <f t="array" ref="L176">IF(SUMPRODUCT(COUNTIF(empresas_filtradas[[#This Row],[cnpj]:[email]],"*"&amp;#REF!&amp;"*"))&gt;0,"sim","não")</f>
        <v>não</v>
      </c>
      <c r="M176" t="s">
        <v>951</v>
      </c>
      <c r="N176" t="str">
        <f>_xlfn.XLOOKUP(empresas_filtradas[[#This Row],[cnpj]], empresas_identificadas_compleme!A:A, empresas_identificadas_compleme!B:B)</f>
        <v>talvez</v>
      </c>
      <c r="O176" t="str">
        <f>_xlfn.XLOOKUP(empresas_filtradas[[#This Row],[cnpj]], empresas_identificadas_compleme!A:A, empresas_identificadas_compleme!C:C)</f>
        <v>CTF_APP e 80km</v>
      </c>
    </row>
    <row r="177" spans="1:15" hidden="1" x14ac:dyDescent="0.25">
      <c r="A177">
        <v>331788006079</v>
      </c>
      <c r="B177" t="s">
        <v>15</v>
      </c>
      <c r="C177">
        <v>2</v>
      </c>
      <c r="E177">
        <v>2014200</v>
      </c>
      <c r="F177" t="s">
        <v>353</v>
      </c>
      <c r="G177" t="s">
        <v>15</v>
      </c>
      <c r="H177">
        <v>88104790</v>
      </c>
      <c r="I177" t="s">
        <v>65</v>
      </c>
      <c r="J177">
        <v>8327</v>
      </c>
      <c r="K177" t="s">
        <v>28</v>
      </c>
      <c r="L177" t="str" cm="1">
        <f t="array" ref="L177">IF(SUMPRODUCT(COUNTIF(empresas_filtradas[[#This Row],[cnpj]:[email]],"*"&amp;#REF!&amp;"*"))&gt;0,"sim","não")</f>
        <v>não</v>
      </c>
      <c r="M177" t="s">
        <v>727</v>
      </c>
      <c r="N177" t="str">
        <f>_xlfn.XLOOKUP(empresas_filtradas[[#This Row],[cnpj]], empresas_identificadas_compleme!A:A, empresas_identificadas_compleme!B:B)</f>
        <v>talvez</v>
      </c>
      <c r="O177" t="str">
        <f>_xlfn.XLOOKUP(empresas_filtradas[[#This Row],[cnpj]], empresas_identificadas_compleme!A:A, empresas_identificadas_compleme!C:C)</f>
        <v>CTF_APP</v>
      </c>
    </row>
    <row r="178" spans="1:15" x14ac:dyDescent="0.25">
      <c r="A178">
        <v>42422844000170</v>
      </c>
      <c r="B178" t="s">
        <v>354</v>
      </c>
      <c r="C178">
        <v>2</v>
      </c>
      <c r="E178">
        <v>2014200</v>
      </c>
      <c r="F178" t="s">
        <v>355</v>
      </c>
      <c r="G178" t="s">
        <v>15</v>
      </c>
      <c r="H178">
        <v>6726265</v>
      </c>
      <c r="I178" t="s">
        <v>32</v>
      </c>
      <c r="J178">
        <v>6361</v>
      </c>
      <c r="K178" t="s">
        <v>356</v>
      </c>
      <c r="L178" t="str" cm="1">
        <f t="array" ref="L178">IF(SUMPRODUCT(COUNTIF(empresas_filtradas[[#This Row],[cnpj]:[email]],"*"&amp;#REF!&amp;"*"))&gt;0,"sim","não")</f>
        <v>não</v>
      </c>
      <c r="M178" t="s">
        <v>950</v>
      </c>
      <c r="N178" t="e">
        <f>_xlfn.XLOOKUP(empresas_filtradas[[#This Row],[cnpj]], empresas_identificadas_compleme!A:A, empresas_identificadas_compleme!B:B)</f>
        <v>#N/A</v>
      </c>
      <c r="O178" t="e">
        <f>_xlfn.XLOOKUP(empresas_filtradas[[#This Row],[cnpj]], empresas_identificadas_compleme!A:A, empresas_identificadas_compleme!C:C)</f>
        <v>#N/A</v>
      </c>
    </row>
    <row r="179" spans="1:15" hidden="1" x14ac:dyDescent="0.25">
      <c r="A179" s="1">
        <v>66358979000344</v>
      </c>
      <c r="B179" t="s">
        <v>255</v>
      </c>
      <c r="C179">
        <v>2</v>
      </c>
      <c r="E179">
        <v>2014200</v>
      </c>
      <c r="F179" t="s">
        <v>16</v>
      </c>
      <c r="G179" t="s">
        <v>357</v>
      </c>
      <c r="H179">
        <v>13185000</v>
      </c>
      <c r="I179" t="s">
        <v>32</v>
      </c>
      <c r="J179">
        <v>2951</v>
      </c>
      <c r="K179" t="s">
        <v>257</v>
      </c>
      <c r="L179" t="str" cm="1">
        <f t="array" ref="L179">IF(SUMPRODUCT(COUNTIF(empresas_filtradas[[#This Row],[cnpj]:[email]],"*"&amp;#REF!&amp;"*"))&gt;0,"sim","não")</f>
        <v>não</v>
      </c>
      <c r="M179" t="s">
        <v>951</v>
      </c>
      <c r="N179" t="str">
        <f>_xlfn.XLOOKUP(empresas_filtradas[[#This Row],[cnpj]], empresas_identificadas_compleme!A:A, empresas_identificadas_compleme!B:B)</f>
        <v>talvez</v>
      </c>
      <c r="O179" t="str">
        <f>_xlfn.XLOOKUP(empresas_filtradas[[#This Row],[cnpj]], empresas_identificadas_compleme!A:A, empresas_identificadas_compleme!C:C)</f>
        <v>80km</v>
      </c>
    </row>
    <row r="180" spans="1:15" x14ac:dyDescent="0.25">
      <c r="A180">
        <v>51033340000150</v>
      </c>
      <c r="B180" t="s">
        <v>15</v>
      </c>
      <c r="C180">
        <v>2</v>
      </c>
      <c r="E180">
        <v>2014200</v>
      </c>
      <c r="F180" t="s">
        <v>358</v>
      </c>
      <c r="G180" t="s">
        <v>359</v>
      </c>
      <c r="H180">
        <v>2283000</v>
      </c>
      <c r="I180" t="s">
        <v>32</v>
      </c>
      <c r="J180">
        <v>7107</v>
      </c>
      <c r="K180" t="s">
        <v>360</v>
      </c>
      <c r="L180" t="str" cm="1">
        <f t="array" ref="L180">IF(SUMPRODUCT(COUNTIF(empresas_filtradas[[#This Row],[cnpj]:[email]],"*"&amp;#REF!&amp;"*"))&gt;0,"sim","não")</f>
        <v>não</v>
      </c>
      <c r="M180" t="s">
        <v>950</v>
      </c>
      <c r="N180" t="str">
        <f>_xlfn.XLOOKUP(empresas_filtradas[[#This Row],[cnpj]], empresas_identificadas_compleme!A:A, empresas_identificadas_compleme!B:B)</f>
        <v>incerto</v>
      </c>
      <c r="O180" t="str">
        <f>_xlfn.XLOOKUP(empresas_filtradas[[#This Row],[cnpj]], empresas_identificadas_compleme!A:A, empresas_identificadas_compleme!C:C)</f>
        <v>CTF_APP e 80km</v>
      </c>
    </row>
    <row r="181" spans="1:15" x14ac:dyDescent="0.25">
      <c r="A181">
        <v>54860514000146</v>
      </c>
      <c r="B181" t="s">
        <v>15</v>
      </c>
      <c r="C181">
        <v>2</v>
      </c>
      <c r="E181">
        <v>2014200</v>
      </c>
      <c r="F181" t="s">
        <v>361</v>
      </c>
      <c r="G181" t="s">
        <v>15</v>
      </c>
      <c r="H181">
        <v>3707000</v>
      </c>
      <c r="I181" t="s">
        <v>32</v>
      </c>
      <c r="J181">
        <v>7107</v>
      </c>
      <c r="K181" t="s">
        <v>362</v>
      </c>
      <c r="L181" t="str" cm="1">
        <f t="array" ref="L181">IF(SUMPRODUCT(COUNTIF(empresas_filtradas[[#This Row],[cnpj]:[email]],"*"&amp;#REF!&amp;"*"))&gt;0,"sim","não")</f>
        <v>não</v>
      </c>
      <c r="M181" t="s">
        <v>950</v>
      </c>
      <c r="N181" t="str">
        <f>_xlfn.XLOOKUP(empresas_filtradas[[#This Row],[cnpj]], empresas_identificadas_compleme!A:A, empresas_identificadas_compleme!B:B)</f>
        <v>incerto</v>
      </c>
      <c r="O181" t="str">
        <f>_xlfn.XLOOKUP(empresas_filtradas[[#This Row],[cnpj]], empresas_identificadas_compleme!A:A, empresas_identificadas_compleme!C:C)</f>
        <v>80km</v>
      </c>
    </row>
    <row r="182" spans="1:15" hidden="1" x14ac:dyDescent="0.25">
      <c r="A182">
        <v>43311032000200</v>
      </c>
      <c r="B182" t="s">
        <v>15</v>
      </c>
      <c r="C182">
        <v>2</v>
      </c>
      <c r="E182">
        <v>2014200</v>
      </c>
      <c r="F182" t="s">
        <v>363</v>
      </c>
      <c r="G182" t="s">
        <v>364</v>
      </c>
      <c r="H182">
        <v>1014907</v>
      </c>
      <c r="I182" t="s">
        <v>32</v>
      </c>
      <c r="J182">
        <v>7107</v>
      </c>
      <c r="K182" t="s">
        <v>365</v>
      </c>
      <c r="L182" t="str" cm="1">
        <f t="array" ref="L182">IF(SUMPRODUCT(COUNTIF(empresas_filtradas[[#This Row],[cnpj]:[email]],"*"&amp;#REF!&amp;"*"))&gt;0,"sim","não")</f>
        <v>não</v>
      </c>
      <c r="M182" t="s">
        <v>727</v>
      </c>
      <c r="N182" t="str">
        <f>_xlfn.XLOOKUP(empresas_filtradas[[#This Row],[cnpj]], empresas_identificadas_compleme!A:A, empresas_identificadas_compleme!B:B)</f>
        <v>incerto</v>
      </c>
      <c r="O182" t="str">
        <f>_xlfn.XLOOKUP(empresas_filtradas[[#This Row],[cnpj]], empresas_identificadas_compleme!A:A, empresas_identificadas_compleme!C:C)</f>
        <v>80km</v>
      </c>
    </row>
    <row r="183" spans="1:15" x14ac:dyDescent="0.25">
      <c r="A183">
        <v>16685196000488</v>
      </c>
      <c r="B183" t="s">
        <v>289</v>
      </c>
      <c r="C183">
        <v>2</v>
      </c>
      <c r="E183">
        <v>2014200</v>
      </c>
      <c r="F183" t="s">
        <v>16</v>
      </c>
      <c r="G183" t="s">
        <v>366</v>
      </c>
      <c r="H183">
        <v>75911046</v>
      </c>
      <c r="I183" t="s">
        <v>173</v>
      </c>
      <c r="J183">
        <v>9571</v>
      </c>
      <c r="K183" t="s">
        <v>291</v>
      </c>
      <c r="L183" t="str" cm="1">
        <f t="array" ref="L183">IF(SUMPRODUCT(COUNTIF(empresas_filtradas[[#This Row],[cnpj]:[email]],"*"&amp;#REF!&amp;"*"))&gt;0,"sim","não")</f>
        <v>não</v>
      </c>
      <c r="M183" t="s">
        <v>950</v>
      </c>
      <c r="N183" t="str">
        <f>_xlfn.XLOOKUP(empresas_filtradas[[#This Row],[cnpj]], empresas_identificadas_compleme!A:A, empresas_identificadas_compleme!B:B)</f>
        <v>talvez</v>
      </c>
      <c r="O183">
        <f>_xlfn.XLOOKUP(empresas_filtradas[[#This Row],[cnpj]], empresas_identificadas_compleme!A:A, empresas_identificadas_compleme!C:C)</f>
        <v>0</v>
      </c>
    </row>
    <row r="184" spans="1:15" x14ac:dyDescent="0.25">
      <c r="A184">
        <v>63220338000179</v>
      </c>
      <c r="B184" t="s">
        <v>367</v>
      </c>
      <c r="C184">
        <v>2</v>
      </c>
      <c r="E184">
        <v>2014200</v>
      </c>
      <c r="F184" t="s">
        <v>196</v>
      </c>
      <c r="G184" t="s">
        <v>368</v>
      </c>
      <c r="H184">
        <v>89620000</v>
      </c>
      <c r="I184" t="s">
        <v>65</v>
      </c>
      <c r="J184">
        <v>8069</v>
      </c>
      <c r="K184" t="s">
        <v>369</v>
      </c>
      <c r="L184" t="str" cm="1">
        <f t="array" ref="L184">IF(SUMPRODUCT(COUNTIF(empresas_filtradas[[#This Row],[cnpj]:[email]],"*"&amp;#REF!&amp;"*"))&gt;0,"sim","não")</f>
        <v>não</v>
      </c>
      <c r="M184" t="s">
        <v>950</v>
      </c>
      <c r="N184" t="str">
        <f>_xlfn.XLOOKUP(empresas_filtradas[[#This Row],[cnpj]], empresas_identificadas_compleme!A:A, empresas_identificadas_compleme!B:B)</f>
        <v>talvez</v>
      </c>
      <c r="O184">
        <f>_xlfn.XLOOKUP(empresas_filtradas[[#This Row],[cnpj]], empresas_identificadas_compleme!A:A, empresas_identificadas_compleme!C:C)</f>
        <v>0</v>
      </c>
    </row>
    <row r="185" spans="1:15" x14ac:dyDescent="0.25">
      <c r="A185">
        <v>63293280000193</v>
      </c>
      <c r="B185" t="s">
        <v>15</v>
      </c>
      <c r="C185">
        <v>3</v>
      </c>
      <c r="E185">
        <v>2014200</v>
      </c>
      <c r="F185" t="s">
        <v>370</v>
      </c>
      <c r="G185" t="s">
        <v>371</v>
      </c>
      <c r="H185">
        <v>1010000</v>
      </c>
      <c r="I185" t="s">
        <v>32</v>
      </c>
      <c r="J185">
        <v>7107</v>
      </c>
      <c r="K185" t="s">
        <v>372</v>
      </c>
      <c r="L185" t="str" cm="1">
        <f t="array" ref="L185">IF(SUMPRODUCT(COUNTIF(empresas_filtradas[[#This Row],[cnpj]:[email]],"*"&amp;#REF!&amp;"*"))&gt;0,"sim","não")</f>
        <v>não</v>
      </c>
      <c r="M185" t="s">
        <v>950</v>
      </c>
      <c r="N185" t="str">
        <f>_xlfn.XLOOKUP(empresas_filtradas[[#This Row],[cnpj]], empresas_identificadas_compleme!A:A, empresas_identificadas_compleme!B:B)</f>
        <v>incerto</v>
      </c>
      <c r="O185" t="str">
        <f>_xlfn.XLOOKUP(empresas_filtradas[[#This Row],[cnpj]], empresas_identificadas_compleme!A:A, empresas_identificadas_compleme!C:C)</f>
        <v>80km</v>
      </c>
    </row>
    <row r="186" spans="1:15" x14ac:dyDescent="0.25">
      <c r="A186">
        <v>64367266000150</v>
      </c>
      <c r="B186" t="s">
        <v>373</v>
      </c>
      <c r="C186">
        <v>2</v>
      </c>
      <c r="E186">
        <v>2014200</v>
      </c>
      <c r="F186" t="s">
        <v>374</v>
      </c>
      <c r="G186" t="s">
        <v>15</v>
      </c>
      <c r="H186">
        <v>29140075</v>
      </c>
      <c r="I186" t="s">
        <v>49</v>
      </c>
      <c r="J186">
        <v>5625</v>
      </c>
      <c r="K186" t="s">
        <v>375</v>
      </c>
      <c r="L186" t="str" cm="1">
        <f t="array" ref="L186">IF(SUMPRODUCT(COUNTIF(empresas_filtradas[[#This Row],[cnpj]:[email]],"*"&amp;#REF!&amp;"*"))&gt;0,"sim","não")</f>
        <v>não</v>
      </c>
      <c r="M186" t="s">
        <v>950</v>
      </c>
      <c r="N186" t="str">
        <f>_xlfn.XLOOKUP(empresas_filtradas[[#This Row],[cnpj]], empresas_identificadas_compleme!A:A, empresas_identificadas_compleme!B:B)</f>
        <v>produz_h2</v>
      </c>
      <c r="O186" t="str">
        <f>_xlfn.XLOOKUP(empresas_filtradas[[#This Row],[cnpj]], empresas_identificadas_compleme!A:A, empresas_identificadas_compleme!C:C)</f>
        <v>80km</v>
      </c>
    </row>
    <row r="187" spans="1:15" hidden="1" x14ac:dyDescent="0.25">
      <c r="A187">
        <v>331788002405</v>
      </c>
      <c r="B187" t="s">
        <v>38</v>
      </c>
      <c r="C187">
        <v>2</v>
      </c>
      <c r="E187">
        <v>2014200</v>
      </c>
      <c r="F187" t="s">
        <v>376</v>
      </c>
      <c r="G187" t="s">
        <v>377</v>
      </c>
      <c r="H187">
        <v>54503010</v>
      </c>
      <c r="I187" t="s">
        <v>92</v>
      </c>
      <c r="J187">
        <v>2357</v>
      </c>
      <c r="K187" t="s">
        <v>28</v>
      </c>
      <c r="L187" t="str" cm="1">
        <f t="array" ref="L187">IF(SUMPRODUCT(COUNTIF(empresas_filtradas[[#This Row],[cnpj]:[email]],"*"&amp;#REF!&amp;"*"))&gt;0,"sim","não")</f>
        <v>não</v>
      </c>
      <c r="M187" t="s">
        <v>728</v>
      </c>
      <c r="N187" t="str">
        <f>_xlfn.XLOOKUP(empresas_filtradas[[#This Row],[cnpj]], empresas_identificadas_compleme!A:A, empresas_identificadas_compleme!B:B)</f>
        <v>talvez</v>
      </c>
      <c r="O187" t="str">
        <f>_xlfn.XLOOKUP(empresas_filtradas[[#This Row],[cnpj]], empresas_identificadas_compleme!A:A, empresas_identificadas_compleme!C:C)</f>
        <v>CTF_APP e 80km</v>
      </c>
    </row>
    <row r="188" spans="1:15" hidden="1" x14ac:dyDescent="0.25">
      <c r="A188" s="1">
        <v>24380578000421</v>
      </c>
      <c r="B188" t="s">
        <v>15</v>
      </c>
      <c r="C188">
        <v>2</v>
      </c>
      <c r="E188">
        <v>2014200</v>
      </c>
      <c r="F188" t="s">
        <v>378</v>
      </c>
      <c r="G188" t="s">
        <v>379</v>
      </c>
      <c r="H188">
        <v>41230200</v>
      </c>
      <c r="I188" t="s">
        <v>60</v>
      </c>
      <c r="J188">
        <v>3849</v>
      </c>
      <c r="K188" t="s">
        <v>33</v>
      </c>
      <c r="L188" t="str" cm="1">
        <f t="array" ref="L188">IF(SUMPRODUCT(COUNTIF(empresas_filtradas[[#This Row],[cnpj]:[email]],"*"&amp;#REF!&amp;"*"))&gt;0,"sim","não")</f>
        <v>não</v>
      </c>
      <c r="M188" t="s">
        <v>728</v>
      </c>
      <c r="N188" t="str">
        <f>_xlfn.XLOOKUP(empresas_filtradas[[#This Row],[cnpj]], empresas_identificadas_compleme!A:A, empresas_identificadas_compleme!B:B)</f>
        <v>talvez</v>
      </c>
      <c r="O188" t="str">
        <f>_xlfn.XLOOKUP(empresas_filtradas[[#This Row],[cnpj]], empresas_identificadas_compleme!A:A, empresas_identificadas_compleme!C:C)</f>
        <v>CTF_APP e 80km</v>
      </c>
    </row>
    <row r="189" spans="1:15" hidden="1" x14ac:dyDescent="0.25">
      <c r="A189">
        <v>2605266000193</v>
      </c>
      <c r="B189" t="s">
        <v>21</v>
      </c>
      <c r="C189">
        <v>2</v>
      </c>
      <c r="E189">
        <v>2014200</v>
      </c>
      <c r="F189" t="s">
        <v>183</v>
      </c>
      <c r="G189" t="s">
        <v>380</v>
      </c>
      <c r="H189">
        <v>6455911</v>
      </c>
      <c r="I189" t="s">
        <v>32</v>
      </c>
      <c r="J189">
        <v>6213</v>
      </c>
      <c r="K189" t="s">
        <v>24</v>
      </c>
      <c r="L189" t="str" cm="1">
        <f t="array" ref="L189">IF(SUMPRODUCT(COUNTIF(empresas_filtradas[[#This Row],[cnpj]:[email]],"*"&amp;#REF!&amp;"*"))&gt;0,"sim","não")</f>
        <v>não</v>
      </c>
      <c r="M189" t="s">
        <v>727</v>
      </c>
      <c r="N189" t="str">
        <f>_xlfn.XLOOKUP(empresas_filtradas[[#This Row],[cnpj]], empresas_identificadas_compleme!A:A, empresas_identificadas_compleme!B:B)</f>
        <v>talvez</v>
      </c>
      <c r="O189" t="str">
        <f>_xlfn.XLOOKUP(empresas_filtradas[[#This Row],[cnpj]], empresas_identificadas_compleme!A:A, empresas_identificadas_compleme!C:C)</f>
        <v>80km</v>
      </c>
    </row>
    <row r="190" spans="1:15" hidden="1" x14ac:dyDescent="0.25">
      <c r="A190">
        <v>35820448010018</v>
      </c>
      <c r="B190" t="s">
        <v>15</v>
      </c>
      <c r="C190">
        <v>2</v>
      </c>
      <c r="E190">
        <v>2014200</v>
      </c>
      <c r="F190" t="s">
        <v>381</v>
      </c>
      <c r="G190" t="s">
        <v>15</v>
      </c>
      <c r="H190">
        <v>12305900</v>
      </c>
      <c r="I190" t="s">
        <v>32</v>
      </c>
      <c r="J190">
        <v>6589</v>
      </c>
      <c r="K190" t="s">
        <v>33</v>
      </c>
      <c r="L190" t="str" cm="1">
        <f t="array" ref="L190">IF(SUMPRODUCT(COUNTIF(empresas_filtradas[[#This Row],[cnpj]:[email]],"*"&amp;#REF!&amp;"*"))&gt;0,"sim","não")</f>
        <v>não</v>
      </c>
      <c r="M190" t="s">
        <v>726</v>
      </c>
      <c r="N190" t="str">
        <f>_xlfn.XLOOKUP(empresas_filtradas[[#This Row],[cnpj]], empresas_identificadas_compleme!A:A, empresas_identificadas_compleme!B:B)</f>
        <v>talvez</v>
      </c>
      <c r="O190" t="str">
        <f>_xlfn.XLOOKUP(empresas_filtradas[[#This Row],[cnpj]], empresas_identificadas_compleme!A:A, empresas_identificadas_compleme!C:C)</f>
        <v>CTF_APP e 80km</v>
      </c>
    </row>
    <row r="191" spans="1:15" hidden="1" x14ac:dyDescent="0.25">
      <c r="A191" s="1">
        <v>35820448013700</v>
      </c>
      <c r="B191" t="s">
        <v>15</v>
      </c>
      <c r="C191">
        <v>2</v>
      </c>
      <c r="E191">
        <v>2014200</v>
      </c>
      <c r="F191" t="s">
        <v>382</v>
      </c>
      <c r="G191" t="s">
        <v>15</v>
      </c>
      <c r="H191">
        <v>35502287</v>
      </c>
      <c r="I191" t="s">
        <v>17</v>
      </c>
      <c r="J191">
        <v>4445</v>
      </c>
      <c r="K191" t="s">
        <v>33</v>
      </c>
      <c r="L191" t="str" cm="1">
        <f t="array" ref="L191">IF(SUMPRODUCT(COUNTIF(empresas_filtradas[[#This Row],[cnpj]:[email]],"*"&amp;#REF!&amp;"*"))&gt;0,"sim","não")</f>
        <v>não</v>
      </c>
      <c r="M191" t="s">
        <v>727</v>
      </c>
      <c r="N191" t="str">
        <f>_xlfn.XLOOKUP(empresas_filtradas[[#This Row],[cnpj]], empresas_identificadas_compleme!A:A, empresas_identificadas_compleme!B:B)</f>
        <v>talvez</v>
      </c>
      <c r="O191" t="str">
        <f>_xlfn.XLOOKUP(empresas_filtradas[[#This Row],[cnpj]], empresas_identificadas_compleme!A:A, empresas_identificadas_compleme!C:C)</f>
        <v>CTF_APP</v>
      </c>
    </row>
    <row r="192" spans="1:15" hidden="1" x14ac:dyDescent="0.25">
      <c r="A192">
        <v>43843358000946</v>
      </c>
      <c r="B192" t="s">
        <v>383</v>
      </c>
      <c r="C192">
        <v>2</v>
      </c>
      <c r="E192">
        <v>2014200</v>
      </c>
      <c r="F192" t="s">
        <v>384</v>
      </c>
      <c r="G192" t="s">
        <v>26</v>
      </c>
      <c r="H192">
        <v>30668273</v>
      </c>
      <c r="I192" t="s">
        <v>17</v>
      </c>
      <c r="J192">
        <v>4123</v>
      </c>
      <c r="K192" t="s">
        <v>37</v>
      </c>
      <c r="L192" t="str" cm="1">
        <f t="array" ref="L192">IF(SUMPRODUCT(COUNTIF(empresas_filtradas[[#This Row],[cnpj]:[email]],"*"&amp;#REF!&amp;"*"))&gt;0,"sim","não")</f>
        <v>não</v>
      </c>
      <c r="M192" t="s">
        <v>728</v>
      </c>
      <c r="N192" t="str">
        <f>_xlfn.XLOOKUP(empresas_filtradas[[#This Row],[cnpj]], empresas_identificadas_compleme!A:A, empresas_identificadas_compleme!B:B)</f>
        <v>talvez</v>
      </c>
      <c r="O192" t="str">
        <f>_xlfn.XLOOKUP(empresas_filtradas[[#This Row],[cnpj]], empresas_identificadas_compleme!A:A, empresas_identificadas_compleme!C:C)</f>
        <v>CTF_APP e 80km</v>
      </c>
    </row>
    <row r="193" spans="1:15" hidden="1" x14ac:dyDescent="0.25">
      <c r="A193">
        <v>60619202000903</v>
      </c>
      <c r="B193" t="s">
        <v>21</v>
      </c>
      <c r="C193">
        <v>2</v>
      </c>
      <c r="E193">
        <v>2014200</v>
      </c>
      <c r="F193" t="s">
        <v>385</v>
      </c>
      <c r="G193" t="s">
        <v>26</v>
      </c>
      <c r="H193">
        <v>43700000</v>
      </c>
      <c r="I193" t="s">
        <v>60</v>
      </c>
      <c r="J193">
        <v>3913</v>
      </c>
      <c r="K193" t="s">
        <v>24</v>
      </c>
      <c r="L193" t="str" cm="1">
        <f t="array" ref="L193">IF(SUMPRODUCT(COUNTIF(empresas_filtradas[[#This Row],[cnpj]:[email]],"*"&amp;#REF!&amp;"*"))&gt;0,"sim","não")</f>
        <v>não</v>
      </c>
      <c r="M193" t="s">
        <v>728</v>
      </c>
      <c r="N193" t="str">
        <f>_xlfn.XLOOKUP(empresas_filtradas[[#This Row],[cnpj]], empresas_identificadas_compleme!A:A, empresas_identificadas_compleme!B:B)</f>
        <v>talvez</v>
      </c>
      <c r="O193" t="str">
        <f>_xlfn.XLOOKUP(empresas_filtradas[[#This Row],[cnpj]], empresas_identificadas_compleme!A:A, empresas_identificadas_compleme!C:C)</f>
        <v>CTF_APP e 80km</v>
      </c>
    </row>
    <row r="194" spans="1:15" hidden="1" x14ac:dyDescent="0.25">
      <c r="A194">
        <v>60619202005964</v>
      </c>
      <c r="B194" t="s">
        <v>21</v>
      </c>
      <c r="C194">
        <v>2</v>
      </c>
      <c r="E194">
        <v>2014200</v>
      </c>
      <c r="F194" t="s">
        <v>386</v>
      </c>
      <c r="G194" t="s">
        <v>387</v>
      </c>
      <c r="H194">
        <v>92420360</v>
      </c>
      <c r="I194" t="s">
        <v>117</v>
      </c>
      <c r="J194">
        <v>8589</v>
      </c>
      <c r="K194" t="s">
        <v>24</v>
      </c>
      <c r="L194" t="str" cm="1">
        <f t="array" ref="L194">IF(SUMPRODUCT(COUNTIF(empresas_filtradas[[#This Row],[cnpj]:[email]],"*"&amp;#REF!&amp;"*"))&gt;0,"sim","não")</f>
        <v>não</v>
      </c>
      <c r="M194" t="s">
        <v>728</v>
      </c>
      <c r="N194" t="str">
        <f>_xlfn.XLOOKUP(empresas_filtradas[[#This Row],[cnpj]], empresas_identificadas_compleme!A:A, empresas_identificadas_compleme!B:B)</f>
        <v>talvez</v>
      </c>
      <c r="O194" t="str">
        <f>_xlfn.XLOOKUP(empresas_filtradas[[#This Row],[cnpj]], empresas_identificadas_compleme!A:A, empresas_identificadas_compleme!C:C)</f>
        <v>CTF_APP e 80km</v>
      </c>
    </row>
    <row r="195" spans="1:15" x14ac:dyDescent="0.25">
      <c r="A195">
        <v>1812143000160</v>
      </c>
      <c r="B195" t="s">
        <v>15</v>
      </c>
      <c r="C195">
        <v>2</v>
      </c>
      <c r="E195">
        <v>2014200</v>
      </c>
      <c r="F195" t="s">
        <v>196</v>
      </c>
      <c r="G195" t="s">
        <v>15</v>
      </c>
      <c r="H195">
        <v>98805675</v>
      </c>
      <c r="I195" t="s">
        <v>117</v>
      </c>
      <c r="J195">
        <v>8853</v>
      </c>
      <c r="K195" t="s">
        <v>15</v>
      </c>
      <c r="L195" t="str" cm="1">
        <f t="array" ref="L195">IF(SUMPRODUCT(COUNTIF(empresas_filtradas[[#This Row],[cnpj]:[email]],"*"&amp;#REF!&amp;"*"))&gt;0,"sim","não")</f>
        <v>não</v>
      </c>
      <c r="M195" t="s">
        <v>950</v>
      </c>
      <c r="N195" t="str">
        <f>_xlfn.XLOOKUP(empresas_filtradas[[#This Row],[cnpj]], empresas_identificadas_compleme!A:A, empresas_identificadas_compleme!B:B)</f>
        <v>incerto</v>
      </c>
      <c r="O195">
        <f>_xlfn.XLOOKUP(empresas_filtradas[[#This Row],[cnpj]], empresas_identificadas_compleme!A:A, empresas_identificadas_compleme!C:C)</f>
        <v>0</v>
      </c>
    </row>
    <row r="196" spans="1:15" x14ac:dyDescent="0.25">
      <c r="A196">
        <v>63634596000100</v>
      </c>
      <c r="B196" t="s">
        <v>15</v>
      </c>
      <c r="C196">
        <v>2</v>
      </c>
      <c r="E196">
        <v>2014200</v>
      </c>
      <c r="F196" t="s">
        <v>388</v>
      </c>
      <c r="G196" t="s">
        <v>15</v>
      </c>
      <c r="H196">
        <v>69058830</v>
      </c>
      <c r="I196" t="s">
        <v>114</v>
      </c>
      <c r="J196">
        <v>255</v>
      </c>
      <c r="K196" t="s">
        <v>79</v>
      </c>
      <c r="L196" t="str" cm="1">
        <f t="array" ref="L196">IF(SUMPRODUCT(COUNTIF(empresas_filtradas[[#This Row],[cnpj]:[email]],"*"&amp;#REF!&amp;"*"))&gt;0,"sim","não")</f>
        <v>não</v>
      </c>
      <c r="M196" t="s">
        <v>950</v>
      </c>
      <c r="N196" t="str">
        <f>_xlfn.XLOOKUP(empresas_filtradas[[#This Row],[cnpj]], empresas_identificadas_compleme!A:A, empresas_identificadas_compleme!B:B)</f>
        <v>incerto</v>
      </c>
      <c r="O196" t="str">
        <f>_xlfn.XLOOKUP(empresas_filtradas[[#This Row],[cnpj]], empresas_identificadas_compleme!A:A, empresas_identificadas_compleme!C:C)</f>
        <v>CTF_APP</v>
      </c>
    </row>
    <row r="197" spans="1:15" hidden="1" x14ac:dyDescent="0.25">
      <c r="A197">
        <v>331788003304</v>
      </c>
      <c r="B197" t="s">
        <v>38</v>
      </c>
      <c r="C197">
        <v>2</v>
      </c>
      <c r="E197">
        <v>2014200</v>
      </c>
      <c r="F197" t="s">
        <v>389</v>
      </c>
      <c r="G197" t="s">
        <v>15</v>
      </c>
      <c r="H197">
        <v>81170200</v>
      </c>
      <c r="I197" t="s">
        <v>45</v>
      </c>
      <c r="J197">
        <v>7535</v>
      </c>
      <c r="K197" t="s">
        <v>28</v>
      </c>
      <c r="L197" t="str" cm="1">
        <f t="array" ref="L197">IF(SUMPRODUCT(COUNTIF(empresas_filtradas[[#This Row],[cnpj]:[email]],"*"&amp;#REF!&amp;"*"))&gt;0,"sim","não")</f>
        <v>não</v>
      </c>
      <c r="M197" t="s">
        <v>728</v>
      </c>
      <c r="N197" t="str">
        <f>_xlfn.XLOOKUP(empresas_filtradas[[#This Row],[cnpj]], empresas_identificadas_compleme!A:A, empresas_identificadas_compleme!B:B)</f>
        <v>talvez</v>
      </c>
      <c r="O197" t="str">
        <f>_xlfn.XLOOKUP(empresas_filtradas[[#This Row],[cnpj]], empresas_identificadas_compleme!A:A, empresas_identificadas_compleme!C:C)</f>
        <v>CTF_APP e 80km</v>
      </c>
    </row>
    <row r="198" spans="1:15" hidden="1" x14ac:dyDescent="0.25">
      <c r="A198">
        <v>43843358002213</v>
      </c>
      <c r="B198" t="s">
        <v>15</v>
      </c>
      <c r="C198">
        <v>2</v>
      </c>
      <c r="E198">
        <v>2014200</v>
      </c>
      <c r="F198" t="s">
        <v>390</v>
      </c>
      <c r="G198" t="s">
        <v>15</v>
      </c>
      <c r="H198">
        <v>81260230</v>
      </c>
      <c r="I198" t="s">
        <v>45</v>
      </c>
      <c r="J198">
        <v>7535</v>
      </c>
      <c r="K198" t="s">
        <v>37</v>
      </c>
      <c r="L198" t="str" cm="1">
        <f t="array" ref="L198">IF(SUMPRODUCT(COUNTIF(empresas_filtradas[[#This Row],[cnpj]:[email]],"*"&amp;#REF!&amp;"*"))&gt;0,"sim","não")</f>
        <v>não</v>
      </c>
      <c r="M198" t="s">
        <v>728</v>
      </c>
      <c r="N198" t="str">
        <f>_xlfn.XLOOKUP(empresas_filtradas[[#This Row],[cnpj]], empresas_identificadas_compleme!A:A, empresas_identificadas_compleme!B:B)</f>
        <v>produz_h2</v>
      </c>
      <c r="O198" t="str">
        <f>_xlfn.XLOOKUP(empresas_filtradas[[#This Row],[cnpj]], empresas_identificadas_compleme!A:A, empresas_identificadas_compleme!C:C)</f>
        <v>CTF_APP e 80km</v>
      </c>
    </row>
    <row r="199" spans="1:15" hidden="1" x14ac:dyDescent="0.25">
      <c r="A199" s="1">
        <v>35820448013386</v>
      </c>
      <c r="B199" t="s">
        <v>15</v>
      </c>
      <c r="C199">
        <v>2</v>
      </c>
      <c r="E199">
        <v>2014200</v>
      </c>
      <c r="F199" t="s">
        <v>16</v>
      </c>
      <c r="G199" t="s">
        <v>391</v>
      </c>
      <c r="H199">
        <v>36413170</v>
      </c>
      <c r="I199" t="s">
        <v>17</v>
      </c>
      <c r="J199">
        <v>4359</v>
      </c>
      <c r="K199" t="s">
        <v>33</v>
      </c>
      <c r="L199" t="str" cm="1">
        <f t="array" ref="L199">IF(SUMPRODUCT(COUNTIF(empresas_filtradas[[#This Row],[cnpj]:[email]],"*"&amp;#REF!&amp;"*"))&gt;0,"sim","não")</f>
        <v>não</v>
      </c>
      <c r="M199" t="s">
        <v>728</v>
      </c>
      <c r="N199" t="str">
        <f>_xlfn.XLOOKUP(empresas_filtradas[[#This Row],[cnpj]], empresas_identificadas_compleme!A:A, empresas_identificadas_compleme!B:B)</f>
        <v>talvez</v>
      </c>
      <c r="O199" t="str">
        <f>_xlfn.XLOOKUP(empresas_filtradas[[#This Row],[cnpj]], empresas_identificadas_compleme!A:A, empresas_identificadas_compleme!C:C)</f>
        <v>CTF_APP e 80km</v>
      </c>
    </row>
    <row r="200" spans="1:15" hidden="1" x14ac:dyDescent="0.25">
      <c r="A200">
        <v>60619202003910</v>
      </c>
      <c r="B200" t="s">
        <v>21</v>
      </c>
      <c r="C200">
        <v>2</v>
      </c>
      <c r="E200">
        <v>2014200</v>
      </c>
      <c r="F200" t="s">
        <v>327</v>
      </c>
      <c r="G200" t="s">
        <v>392</v>
      </c>
      <c r="H200">
        <v>13212240</v>
      </c>
      <c r="I200" t="s">
        <v>32</v>
      </c>
      <c r="J200">
        <v>6619</v>
      </c>
      <c r="K200" t="s">
        <v>24</v>
      </c>
      <c r="L200" t="str" cm="1">
        <f t="array" ref="L200">IF(SUMPRODUCT(COUNTIF(empresas_filtradas[[#This Row],[cnpj]:[email]],"*"&amp;#REF!&amp;"*"))&gt;0,"sim","não")</f>
        <v>não</v>
      </c>
      <c r="M200" t="s">
        <v>728</v>
      </c>
      <c r="N200" t="str">
        <f>_xlfn.XLOOKUP(empresas_filtradas[[#This Row],[cnpj]], empresas_identificadas_compleme!A:A, empresas_identificadas_compleme!B:B)</f>
        <v>talvez</v>
      </c>
      <c r="O200" t="str">
        <f>_xlfn.XLOOKUP(empresas_filtradas[[#This Row],[cnpj]], empresas_identificadas_compleme!A:A, empresas_identificadas_compleme!C:C)</f>
        <v>CTF_APP e 80km</v>
      </c>
    </row>
    <row r="201" spans="1:15" hidden="1" x14ac:dyDescent="0.25">
      <c r="A201">
        <v>43843358002051</v>
      </c>
      <c r="B201" t="s">
        <v>15</v>
      </c>
      <c r="C201">
        <v>2</v>
      </c>
      <c r="E201">
        <v>2014200</v>
      </c>
      <c r="F201" t="s">
        <v>393</v>
      </c>
      <c r="G201" t="s">
        <v>394</v>
      </c>
      <c r="H201">
        <v>12340901</v>
      </c>
      <c r="I201" t="s">
        <v>32</v>
      </c>
      <c r="J201">
        <v>6589</v>
      </c>
      <c r="K201" t="s">
        <v>37</v>
      </c>
      <c r="L201" t="str" cm="1">
        <f t="array" ref="L201">IF(SUMPRODUCT(COUNTIF(empresas_filtradas[[#This Row],[cnpj]:[email]],"*"&amp;#REF!&amp;"*"))&gt;0,"sim","não")</f>
        <v>não</v>
      </c>
      <c r="M201" t="s">
        <v>728</v>
      </c>
      <c r="N201" t="str">
        <f>_xlfn.XLOOKUP(empresas_filtradas[[#This Row],[cnpj]], empresas_identificadas_compleme!A:A, empresas_identificadas_compleme!B:B)</f>
        <v>talvez</v>
      </c>
      <c r="O201" t="str">
        <f>_xlfn.XLOOKUP(empresas_filtradas[[#This Row],[cnpj]], empresas_identificadas_compleme!A:A, empresas_identificadas_compleme!C:C)</f>
        <v>CTF_APP e 80km</v>
      </c>
    </row>
    <row r="202" spans="1:15" hidden="1" x14ac:dyDescent="0.25">
      <c r="A202" s="1">
        <v>35820448000217</v>
      </c>
      <c r="B202" t="s">
        <v>15</v>
      </c>
      <c r="C202">
        <v>2</v>
      </c>
      <c r="E202">
        <v>2014200</v>
      </c>
      <c r="F202" t="s">
        <v>395</v>
      </c>
      <c r="G202" t="s">
        <v>15</v>
      </c>
      <c r="H202">
        <v>27255430</v>
      </c>
      <c r="I202" t="s">
        <v>27</v>
      </c>
      <c r="J202">
        <v>5925</v>
      </c>
      <c r="K202" t="s">
        <v>33</v>
      </c>
      <c r="L202" t="str" cm="1">
        <f t="array" ref="L202">IF(SUMPRODUCT(COUNTIF(empresas_filtradas[[#This Row],[cnpj]:[email]],"*"&amp;#REF!&amp;"*"))&gt;0,"sim","não")</f>
        <v>não</v>
      </c>
      <c r="M202" t="s">
        <v>728</v>
      </c>
      <c r="N202" t="str">
        <f>_xlfn.XLOOKUP(empresas_filtradas[[#This Row],[cnpj]], empresas_identificadas_compleme!A:A, empresas_identificadas_compleme!B:B)</f>
        <v>talvez</v>
      </c>
      <c r="O202" t="str">
        <f>_xlfn.XLOOKUP(empresas_filtradas[[#This Row],[cnpj]], empresas_identificadas_compleme!A:A, empresas_identificadas_compleme!C:C)</f>
        <v>CTF_APP e 80km</v>
      </c>
    </row>
    <row r="203" spans="1:15" hidden="1" x14ac:dyDescent="0.25">
      <c r="A203">
        <v>331788002677</v>
      </c>
      <c r="B203" t="s">
        <v>38</v>
      </c>
      <c r="C203">
        <v>2</v>
      </c>
      <c r="E203">
        <v>2014200</v>
      </c>
      <c r="F203" t="s">
        <v>396</v>
      </c>
      <c r="G203" t="s">
        <v>15</v>
      </c>
      <c r="H203">
        <v>92702320</v>
      </c>
      <c r="I203" t="s">
        <v>117</v>
      </c>
      <c r="J203">
        <v>8685</v>
      </c>
      <c r="K203" t="s">
        <v>28</v>
      </c>
      <c r="L203" t="str" cm="1">
        <f t="array" ref="L203">IF(SUMPRODUCT(COUNTIF(empresas_filtradas[[#This Row],[cnpj]:[email]],"*"&amp;#REF!&amp;"*"))&gt;0,"sim","não")</f>
        <v>não</v>
      </c>
      <c r="M203" t="s">
        <v>727</v>
      </c>
      <c r="N203" t="str">
        <f>_xlfn.XLOOKUP(empresas_filtradas[[#This Row],[cnpj]], empresas_identificadas_compleme!A:A, empresas_identificadas_compleme!B:B)</f>
        <v>talvez</v>
      </c>
      <c r="O203" t="str">
        <f>_xlfn.XLOOKUP(empresas_filtradas[[#This Row],[cnpj]], empresas_identificadas_compleme!A:A, empresas_identificadas_compleme!C:C)</f>
        <v>80km</v>
      </c>
    </row>
    <row r="204" spans="1:15" hidden="1" x14ac:dyDescent="0.25">
      <c r="A204">
        <v>60619202001977</v>
      </c>
      <c r="B204" t="s">
        <v>21</v>
      </c>
      <c r="C204">
        <v>2</v>
      </c>
      <c r="E204">
        <v>2014200</v>
      </c>
      <c r="F204" t="s">
        <v>397</v>
      </c>
      <c r="G204" t="s">
        <v>15</v>
      </c>
      <c r="H204">
        <v>38055000</v>
      </c>
      <c r="I204" t="s">
        <v>17</v>
      </c>
      <c r="J204">
        <v>5401</v>
      </c>
      <c r="K204" t="s">
        <v>24</v>
      </c>
      <c r="L204" t="str" cm="1">
        <f t="array" ref="L204">IF(SUMPRODUCT(COUNTIF(empresas_filtradas[[#This Row],[cnpj]:[email]],"*"&amp;#REF!&amp;"*"))&gt;0,"sim","não")</f>
        <v>não</v>
      </c>
      <c r="M204" t="s">
        <v>728</v>
      </c>
      <c r="N204" t="str">
        <f>_xlfn.XLOOKUP(empresas_filtradas[[#This Row],[cnpj]], empresas_identificadas_compleme!A:A, empresas_identificadas_compleme!B:B)</f>
        <v>talvez</v>
      </c>
      <c r="O204" t="str">
        <f>_xlfn.XLOOKUP(empresas_filtradas[[#This Row],[cnpj]], empresas_identificadas_compleme!A:A, empresas_identificadas_compleme!C:C)</f>
        <v>CTF_APP e 80km</v>
      </c>
    </row>
    <row r="205" spans="1:15" hidden="1" x14ac:dyDescent="0.25">
      <c r="A205">
        <v>60619202005700</v>
      </c>
      <c r="B205" t="s">
        <v>21</v>
      </c>
      <c r="C205">
        <v>2</v>
      </c>
      <c r="E205">
        <v>2014200</v>
      </c>
      <c r="F205" t="s">
        <v>398</v>
      </c>
      <c r="G205" t="s">
        <v>15</v>
      </c>
      <c r="H205">
        <v>17034310</v>
      </c>
      <c r="I205" t="s">
        <v>32</v>
      </c>
      <c r="J205">
        <v>6219</v>
      </c>
      <c r="K205" t="s">
        <v>24</v>
      </c>
      <c r="L205" t="str" cm="1">
        <f t="array" ref="L205">IF(SUMPRODUCT(COUNTIF(empresas_filtradas[[#This Row],[cnpj]:[email]],"*"&amp;#REF!&amp;"*"))&gt;0,"sim","não")</f>
        <v>não</v>
      </c>
      <c r="M205" t="s">
        <v>727</v>
      </c>
      <c r="N205" t="str">
        <f>_xlfn.XLOOKUP(empresas_filtradas[[#This Row],[cnpj]], empresas_identificadas_compleme!A:A, empresas_identificadas_compleme!B:B)</f>
        <v>talvez</v>
      </c>
      <c r="O205" t="str">
        <f>_xlfn.XLOOKUP(empresas_filtradas[[#This Row],[cnpj]], empresas_identificadas_compleme!A:A, empresas_identificadas_compleme!C:C)</f>
        <v>CTF_APP</v>
      </c>
    </row>
    <row r="206" spans="1:15" hidden="1" x14ac:dyDescent="0.25">
      <c r="A206">
        <v>60619202002191</v>
      </c>
      <c r="B206" t="s">
        <v>21</v>
      </c>
      <c r="C206">
        <v>2</v>
      </c>
      <c r="E206">
        <v>2014200</v>
      </c>
      <c r="F206" t="s">
        <v>399</v>
      </c>
      <c r="G206" t="s">
        <v>400</v>
      </c>
      <c r="H206">
        <v>89804570</v>
      </c>
      <c r="I206" t="s">
        <v>65</v>
      </c>
      <c r="J206">
        <v>8081</v>
      </c>
      <c r="K206" t="s">
        <v>24</v>
      </c>
      <c r="L206" t="str" cm="1">
        <f t="array" ref="L206">IF(SUMPRODUCT(COUNTIF(empresas_filtradas[[#This Row],[cnpj]:[email]],"*"&amp;#REF!&amp;"*"))&gt;0,"sim","não")</f>
        <v>não</v>
      </c>
      <c r="M206" t="s">
        <v>727</v>
      </c>
      <c r="N206" t="str">
        <f>_xlfn.XLOOKUP(empresas_filtradas[[#This Row],[cnpj]], empresas_identificadas_compleme!A:A, empresas_identificadas_compleme!B:B)</f>
        <v>talvez</v>
      </c>
      <c r="O206" t="str">
        <f>_xlfn.XLOOKUP(empresas_filtradas[[#This Row],[cnpj]], empresas_identificadas_compleme!A:A, empresas_identificadas_compleme!C:C)</f>
        <v>CTF_APP</v>
      </c>
    </row>
    <row r="207" spans="1:15" hidden="1" x14ac:dyDescent="0.25">
      <c r="A207">
        <v>35820448019660</v>
      </c>
      <c r="B207" t="s">
        <v>15</v>
      </c>
      <c r="C207">
        <v>2</v>
      </c>
      <c r="E207">
        <v>2014200</v>
      </c>
      <c r="F207" t="s">
        <v>196</v>
      </c>
      <c r="G207" t="s">
        <v>401</v>
      </c>
      <c r="H207">
        <v>9154900</v>
      </c>
      <c r="I207" t="s">
        <v>32</v>
      </c>
      <c r="J207">
        <v>7057</v>
      </c>
      <c r="K207" t="s">
        <v>33</v>
      </c>
      <c r="L207" t="str" cm="1">
        <f t="array" ref="L207">IF(SUMPRODUCT(COUNTIF(empresas_filtradas[[#This Row],[cnpj]:[email]],"*"&amp;#REF!&amp;"*"))&gt;0,"sim","não")</f>
        <v>não</v>
      </c>
      <c r="M207" t="s">
        <v>726</v>
      </c>
      <c r="N207" t="str">
        <f>_xlfn.XLOOKUP(empresas_filtradas[[#This Row],[cnpj]], empresas_identificadas_compleme!A:A, empresas_identificadas_compleme!B:B)</f>
        <v>talvez</v>
      </c>
      <c r="O207" t="str">
        <f>_xlfn.XLOOKUP(empresas_filtradas[[#This Row],[cnpj]], empresas_identificadas_compleme!A:A, empresas_identificadas_compleme!C:C)</f>
        <v>CTF_APP e 80km</v>
      </c>
    </row>
    <row r="208" spans="1:15" x14ac:dyDescent="0.25">
      <c r="A208">
        <v>10365778000239</v>
      </c>
      <c r="B208" t="s">
        <v>334</v>
      </c>
      <c r="C208">
        <v>2</v>
      </c>
      <c r="E208">
        <v>2014200</v>
      </c>
      <c r="F208" t="s">
        <v>196</v>
      </c>
      <c r="G208" t="s">
        <v>402</v>
      </c>
      <c r="H208">
        <v>75340000</v>
      </c>
      <c r="I208" t="s">
        <v>173</v>
      </c>
      <c r="J208">
        <v>9389</v>
      </c>
      <c r="K208" t="s">
        <v>403</v>
      </c>
      <c r="L208" t="str" cm="1">
        <f t="array" ref="L208">IF(SUMPRODUCT(COUNTIF(empresas_filtradas[[#This Row],[cnpj]:[email]],"*"&amp;#REF!&amp;"*"))&gt;0,"sim","não")</f>
        <v>não</v>
      </c>
      <c r="M208" t="s">
        <v>950</v>
      </c>
      <c r="N208" t="str">
        <f>_xlfn.XLOOKUP(empresas_filtradas[[#This Row],[cnpj]], empresas_identificadas_compleme!A:A, empresas_identificadas_compleme!B:B)</f>
        <v>talvez</v>
      </c>
      <c r="O208">
        <f>_xlfn.XLOOKUP(empresas_filtradas[[#This Row],[cnpj]], empresas_identificadas_compleme!A:A, empresas_identificadas_compleme!C:C)</f>
        <v>0</v>
      </c>
    </row>
    <row r="209" spans="1:15" x14ac:dyDescent="0.25">
      <c r="A209">
        <v>14767386000176</v>
      </c>
      <c r="B209" t="s">
        <v>404</v>
      </c>
      <c r="C209">
        <v>2</v>
      </c>
      <c r="E209">
        <v>2014200</v>
      </c>
      <c r="F209" t="s">
        <v>16</v>
      </c>
      <c r="G209" t="s">
        <v>405</v>
      </c>
      <c r="H209">
        <v>55840000</v>
      </c>
      <c r="I209" t="s">
        <v>92</v>
      </c>
      <c r="J209">
        <v>2469</v>
      </c>
      <c r="K209" t="s">
        <v>406</v>
      </c>
      <c r="L209" t="str" cm="1">
        <f t="array" ref="L209">IF(SUMPRODUCT(COUNTIF(empresas_filtradas[[#This Row],[cnpj]:[email]],"*"&amp;#REF!&amp;"*"))&gt;0,"sim","não")</f>
        <v>não</v>
      </c>
      <c r="M209" t="s">
        <v>950</v>
      </c>
      <c r="N209" t="str">
        <f>_xlfn.XLOOKUP(empresas_filtradas[[#This Row],[cnpj]], empresas_identificadas_compleme!A:A, empresas_identificadas_compleme!B:B)</f>
        <v>talvez</v>
      </c>
      <c r="O209" t="str">
        <f>_xlfn.XLOOKUP(empresas_filtradas[[#This Row],[cnpj]], empresas_identificadas_compleme!A:A, empresas_identificadas_compleme!C:C)</f>
        <v>CTF_APP e 80km</v>
      </c>
    </row>
    <row r="210" spans="1:15" hidden="1" x14ac:dyDescent="0.25">
      <c r="A210" s="1">
        <v>35820448019236</v>
      </c>
      <c r="B210" t="s">
        <v>15</v>
      </c>
      <c r="C210">
        <v>2</v>
      </c>
      <c r="E210">
        <v>2014200</v>
      </c>
      <c r="F210" t="s">
        <v>16</v>
      </c>
      <c r="G210" t="s">
        <v>407</v>
      </c>
      <c r="H210">
        <v>79641300</v>
      </c>
      <c r="I210" t="s">
        <v>62</v>
      </c>
      <c r="J210">
        <v>9165</v>
      </c>
      <c r="K210" t="s">
        <v>33</v>
      </c>
      <c r="L210" t="str" cm="1">
        <f t="array" ref="L210">IF(SUMPRODUCT(COUNTIF(empresas_filtradas[[#This Row],[cnpj]:[email]],"*"&amp;#REF!&amp;"*"))&gt;0,"sim","não")</f>
        <v>não</v>
      </c>
      <c r="M210" t="s">
        <v>727</v>
      </c>
      <c r="N210" t="str">
        <f>_xlfn.XLOOKUP(empresas_filtradas[[#This Row],[cnpj]], empresas_identificadas_compleme!A:A, empresas_identificadas_compleme!B:B)</f>
        <v>talvez</v>
      </c>
      <c r="O210" t="str">
        <f>_xlfn.XLOOKUP(empresas_filtradas[[#This Row],[cnpj]], empresas_identificadas_compleme!A:A, empresas_identificadas_compleme!C:C)</f>
        <v>CTF_APP</v>
      </c>
    </row>
    <row r="211" spans="1:15" hidden="1" x14ac:dyDescent="0.25">
      <c r="A211">
        <v>331788005005</v>
      </c>
      <c r="B211" t="s">
        <v>15</v>
      </c>
      <c r="C211">
        <v>2</v>
      </c>
      <c r="E211">
        <v>2014200</v>
      </c>
      <c r="F211" t="s">
        <v>408</v>
      </c>
      <c r="G211" t="s">
        <v>15</v>
      </c>
      <c r="H211">
        <v>89810168</v>
      </c>
      <c r="I211" t="s">
        <v>65</v>
      </c>
      <c r="J211">
        <v>8081</v>
      </c>
      <c r="K211" t="s">
        <v>28</v>
      </c>
      <c r="L211" t="str" cm="1">
        <f t="array" ref="L211">IF(SUMPRODUCT(COUNTIF(empresas_filtradas[[#This Row],[cnpj]:[email]],"*"&amp;#REF!&amp;"*"))&gt;0,"sim","não")</f>
        <v>não</v>
      </c>
      <c r="M211" t="s">
        <v>727</v>
      </c>
      <c r="N211" t="str">
        <f>_xlfn.XLOOKUP(empresas_filtradas[[#This Row],[cnpj]], empresas_identificadas_compleme!A:A, empresas_identificadas_compleme!B:B)</f>
        <v>talvez</v>
      </c>
      <c r="O211" t="str">
        <f>_xlfn.XLOOKUP(empresas_filtradas[[#This Row],[cnpj]], empresas_identificadas_compleme!A:A, empresas_identificadas_compleme!C:C)</f>
        <v>CTF_APP</v>
      </c>
    </row>
    <row r="212" spans="1:15" hidden="1" x14ac:dyDescent="0.25">
      <c r="A212">
        <v>13788120001038</v>
      </c>
      <c r="B212" t="s">
        <v>409</v>
      </c>
      <c r="C212">
        <v>2</v>
      </c>
      <c r="E212">
        <v>2014200</v>
      </c>
      <c r="F212" t="s">
        <v>410</v>
      </c>
      <c r="G212" t="s">
        <v>15</v>
      </c>
      <c r="H212">
        <v>42816140</v>
      </c>
      <c r="I212" t="s">
        <v>60</v>
      </c>
      <c r="J212">
        <v>3413</v>
      </c>
      <c r="K212" t="s">
        <v>411</v>
      </c>
      <c r="L212" t="str" cm="1">
        <f t="array" ref="L212">IF(SUMPRODUCT(COUNTIF(empresas_filtradas[[#This Row],[cnpj]:[email]],"*"&amp;#REF!&amp;"*"))&gt;0,"sim","não")</f>
        <v>não</v>
      </c>
      <c r="M212" t="s">
        <v>726</v>
      </c>
      <c r="N212" t="str">
        <f>_xlfn.XLOOKUP(empresas_filtradas[[#This Row],[cnpj]], empresas_identificadas_compleme!A:A, empresas_identificadas_compleme!B:B)</f>
        <v>talvez</v>
      </c>
      <c r="O212" t="str">
        <f>_xlfn.XLOOKUP(empresas_filtradas[[#This Row],[cnpj]], empresas_identificadas_compleme!A:A, empresas_identificadas_compleme!C:C)</f>
        <v>CTF_APP e 80km</v>
      </c>
    </row>
    <row r="213" spans="1:15" hidden="1" x14ac:dyDescent="0.25">
      <c r="A213" s="1">
        <v>23376993000104</v>
      </c>
      <c r="B213" t="s">
        <v>412</v>
      </c>
      <c r="C213">
        <v>2</v>
      </c>
      <c r="E213">
        <v>2014200</v>
      </c>
      <c r="F213" t="s">
        <v>413</v>
      </c>
      <c r="G213" t="s">
        <v>15</v>
      </c>
      <c r="H213">
        <v>27940290</v>
      </c>
      <c r="I213" t="s">
        <v>27</v>
      </c>
      <c r="J213">
        <v>5847</v>
      </c>
      <c r="K213" t="s">
        <v>414</v>
      </c>
      <c r="L213" t="str" cm="1">
        <f t="array" ref="L213">IF(SUMPRODUCT(COUNTIF(empresas_filtradas[[#This Row],[cnpj]:[email]],"*"&amp;#REF!&amp;"*"))&gt;0,"sim","não")</f>
        <v>não</v>
      </c>
      <c r="M213" t="s">
        <v>951</v>
      </c>
      <c r="N213" t="str">
        <f>_xlfn.XLOOKUP(empresas_filtradas[[#This Row],[cnpj]], empresas_identificadas_compleme!A:A, empresas_identificadas_compleme!B:B)</f>
        <v>talvez</v>
      </c>
      <c r="O213" t="str">
        <f>_xlfn.XLOOKUP(empresas_filtradas[[#This Row],[cnpj]], empresas_identificadas_compleme!A:A, empresas_identificadas_compleme!C:C)</f>
        <v>80km</v>
      </c>
    </row>
    <row r="214" spans="1:15" x14ac:dyDescent="0.25">
      <c r="A214">
        <v>25089951000100</v>
      </c>
      <c r="B214" t="s">
        <v>415</v>
      </c>
      <c r="C214">
        <v>2</v>
      </c>
      <c r="E214">
        <v>2014200</v>
      </c>
      <c r="F214" t="s">
        <v>416</v>
      </c>
      <c r="G214" t="s">
        <v>417</v>
      </c>
      <c r="H214">
        <v>66825522</v>
      </c>
      <c r="I214" t="s">
        <v>78</v>
      </c>
      <c r="J214">
        <v>427</v>
      </c>
      <c r="K214" t="s">
        <v>15</v>
      </c>
      <c r="L214" t="str" cm="1">
        <f t="array" ref="L214">IF(SUMPRODUCT(COUNTIF(empresas_filtradas[[#This Row],[cnpj]:[email]],"*"&amp;#REF!&amp;"*"))&gt;0,"sim","não")</f>
        <v>não</v>
      </c>
      <c r="M214" t="s">
        <v>950</v>
      </c>
      <c r="N214" t="e">
        <f>_xlfn.XLOOKUP(empresas_filtradas[[#This Row],[cnpj]], empresas_identificadas_compleme!A:A, empresas_identificadas_compleme!B:B)</f>
        <v>#N/A</v>
      </c>
      <c r="O214" t="e">
        <f>_xlfn.XLOOKUP(empresas_filtradas[[#This Row],[cnpj]], empresas_identificadas_compleme!A:A, empresas_identificadas_compleme!C:C)</f>
        <v>#N/A</v>
      </c>
    </row>
    <row r="215" spans="1:15" hidden="1" x14ac:dyDescent="0.25">
      <c r="A215" s="1">
        <v>35820448021567</v>
      </c>
      <c r="B215" t="s">
        <v>15</v>
      </c>
      <c r="C215">
        <v>2</v>
      </c>
      <c r="E215">
        <v>2014200</v>
      </c>
      <c r="F215" t="s">
        <v>16</v>
      </c>
      <c r="G215" t="s">
        <v>418</v>
      </c>
      <c r="H215">
        <v>39205000</v>
      </c>
      <c r="I215" t="s">
        <v>17</v>
      </c>
      <c r="J215">
        <v>4115</v>
      </c>
      <c r="K215" t="s">
        <v>33</v>
      </c>
      <c r="L215" t="str" cm="1">
        <f t="array" ref="L215">IF(SUMPRODUCT(COUNTIF(empresas_filtradas[[#This Row],[cnpj]:[email]],"*"&amp;#REF!&amp;"*"))&gt;0,"sim","não")</f>
        <v>não</v>
      </c>
      <c r="M215" t="s">
        <v>727</v>
      </c>
      <c r="N215" t="str">
        <f>_xlfn.XLOOKUP(empresas_filtradas[[#This Row],[cnpj]], empresas_identificadas_compleme!A:A, empresas_identificadas_compleme!B:B)</f>
        <v>talvez</v>
      </c>
      <c r="O215" t="str">
        <f>_xlfn.XLOOKUP(empresas_filtradas[[#This Row],[cnpj]], empresas_identificadas_compleme!A:A, empresas_identificadas_compleme!C:C)</f>
        <v>CTF_APP</v>
      </c>
    </row>
    <row r="216" spans="1:15" x14ac:dyDescent="0.25">
      <c r="A216" s="1">
        <v>42280290000114</v>
      </c>
      <c r="B216" t="s">
        <v>419</v>
      </c>
      <c r="C216">
        <v>2</v>
      </c>
      <c r="E216">
        <v>2014200</v>
      </c>
      <c r="F216" t="s">
        <v>420</v>
      </c>
      <c r="G216" t="s">
        <v>421</v>
      </c>
      <c r="H216">
        <v>1406200</v>
      </c>
      <c r="I216" t="s">
        <v>32</v>
      </c>
      <c r="J216">
        <v>7107</v>
      </c>
      <c r="K216" t="s">
        <v>422</v>
      </c>
      <c r="L216" t="str" cm="1">
        <f t="array" ref="L216">IF(SUMPRODUCT(COUNTIF(empresas_filtradas[[#This Row],[cnpj]:[email]],"*"&amp;#REF!&amp;"*"))&gt;0,"sim","não")</f>
        <v>não</v>
      </c>
      <c r="M216" t="s">
        <v>950</v>
      </c>
      <c r="N216" t="str">
        <f>_xlfn.XLOOKUP(empresas_filtradas[[#This Row],[cnpj]], empresas_identificadas_compleme!A:A, empresas_identificadas_compleme!B:B)</f>
        <v>talvez</v>
      </c>
      <c r="O216" t="str">
        <f>_xlfn.XLOOKUP(empresas_filtradas[[#This Row],[cnpj]], empresas_identificadas_compleme!A:A, empresas_identificadas_compleme!C:C)</f>
        <v>80km</v>
      </c>
    </row>
    <row r="217" spans="1:15" hidden="1" x14ac:dyDescent="0.25">
      <c r="A217" s="1">
        <v>39795095000112</v>
      </c>
      <c r="B217" t="s">
        <v>423</v>
      </c>
      <c r="C217">
        <v>2</v>
      </c>
      <c r="E217">
        <v>2014200</v>
      </c>
      <c r="F217" t="s">
        <v>16</v>
      </c>
      <c r="G217" t="s">
        <v>424</v>
      </c>
      <c r="H217">
        <v>19220000</v>
      </c>
      <c r="I217" t="s">
        <v>32</v>
      </c>
      <c r="J217">
        <v>6745</v>
      </c>
      <c r="K217" t="s">
        <v>425</v>
      </c>
      <c r="L217" t="str" cm="1">
        <f t="array" ref="L217">IF(SUMPRODUCT(COUNTIF(empresas_filtradas[[#This Row],[cnpj]:[email]],"*"&amp;#REF!&amp;"*"))&gt;0,"sim","não")</f>
        <v>não</v>
      </c>
      <c r="M217" t="s">
        <v>952</v>
      </c>
      <c r="N217" t="str">
        <f>_xlfn.XLOOKUP(empresas_filtradas[[#This Row],[cnpj]], empresas_identificadas_compleme!A:A, empresas_identificadas_compleme!B:B)</f>
        <v>talvez</v>
      </c>
      <c r="O217" t="str">
        <f>_xlfn.XLOOKUP(empresas_filtradas[[#This Row],[cnpj]], empresas_identificadas_compleme!A:A, empresas_identificadas_compleme!C:C)</f>
        <v>CTF_APP</v>
      </c>
    </row>
    <row r="218" spans="1:15" hidden="1" x14ac:dyDescent="0.25">
      <c r="A218">
        <v>40667406000147</v>
      </c>
      <c r="B218" t="s">
        <v>15</v>
      </c>
      <c r="C218">
        <v>2</v>
      </c>
      <c r="E218">
        <v>2014200</v>
      </c>
      <c r="F218" t="s">
        <v>90</v>
      </c>
      <c r="G218" t="s">
        <v>426</v>
      </c>
      <c r="H218">
        <v>1318903</v>
      </c>
      <c r="I218" t="s">
        <v>32</v>
      </c>
      <c r="J218">
        <v>7107</v>
      </c>
      <c r="K218" t="s">
        <v>427</v>
      </c>
      <c r="L218" t="str" cm="1">
        <f t="array" ref="L218">IF(SUMPRODUCT(COUNTIF(empresas_filtradas[[#This Row],[cnpj]:[email]],"*"&amp;#REF!&amp;"*"))&gt;0,"sim","não")</f>
        <v>não</v>
      </c>
      <c r="M218" t="s">
        <v>952</v>
      </c>
      <c r="N218" t="str">
        <f>_xlfn.XLOOKUP(empresas_filtradas[[#This Row],[cnpj]], empresas_identificadas_compleme!A:A, empresas_identificadas_compleme!B:B)</f>
        <v>produz_h2</v>
      </c>
      <c r="O218" t="str">
        <f>_xlfn.XLOOKUP(empresas_filtradas[[#This Row],[cnpj]], empresas_identificadas_compleme!A:A, empresas_identificadas_compleme!C:C)</f>
        <v>80km</v>
      </c>
    </row>
    <row r="219" spans="1:15" x14ac:dyDescent="0.25">
      <c r="A219">
        <v>37208123000122</v>
      </c>
      <c r="B219" t="s">
        <v>428</v>
      </c>
      <c r="C219">
        <v>2</v>
      </c>
      <c r="E219">
        <v>2014200</v>
      </c>
      <c r="F219" t="s">
        <v>429</v>
      </c>
      <c r="G219" t="s">
        <v>15</v>
      </c>
      <c r="H219">
        <v>69640000</v>
      </c>
      <c r="I219" t="s">
        <v>114</v>
      </c>
      <c r="J219">
        <v>9847</v>
      </c>
      <c r="K219" t="s">
        <v>430</v>
      </c>
      <c r="L219" t="str" cm="1">
        <f t="array" ref="L219">IF(SUMPRODUCT(COUNTIF(empresas_filtradas[[#This Row],[cnpj]:[email]],"*"&amp;#REF!&amp;"*"))&gt;0,"sim","não")</f>
        <v>não</v>
      </c>
      <c r="M219" t="s">
        <v>950</v>
      </c>
      <c r="N219" t="str">
        <f>_xlfn.XLOOKUP(empresas_filtradas[[#This Row],[cnpj]], empresas_identificadas_compleme!A:A, empresas_identificadas_compleme!B:B)</f>
        <v>talvez</v>
      </c>
      <c r="O219">
        <f>_xlfn.XLOOKUP(empresas_filtradas[[#This Row],[cnpj]], empresas_identificadas_compleme!A:A, empresas_identificadas_compleme!C:C)</f>
        <v>0</v>
      </c>
    </row>
    <row r="220" spans="1:15" hidden="1" x14ac:dyDescent="0.25">
      <c r="A220">
        <v>23376993000287</v>
      </c>
      <c r="B220" t="s">
        <v>15</v>
      </c>
      <c r="C220">
        <v>2</v>
      </c>
      <c r="E220">
        <v>2014200</v>
      </c>
      <c r="F220" t="s">
        <v>196</v>
      </c>
      <c r="G220" t="s">
        <v>431</v>
      </c>
      <c r="H220">
        <v>27932105</v>
      </c>
      <c r="I220" t="s">
        <v>27</v>
      </c>
      <c r="J220">
        <v>5847</v>
      </c>
      <c r="K220" t="s">
        <v>432</v>
      </c>
      <c r="L220" t="str" cm="1">
        <f t="array" ref="L220">IF(SUMPRODUCT(COUNTIF(empresas_filtradas[[#This Row],[cnpj]:[email]],"*"&amp;#REF!&amp;"*"))&gt;0,"sim","não")</f>
        <v>não</v>
      </c>
      <c r="M220" t="s">
        <v>951</v>
      </c>
      <c r="N220" t="str">
        <f>_xlfn.XLOOKUP(empresas_filtradas[[#This Row],[cnpj]], empresas_identificadas_compleme!A:A, empresas_identificadas_compleme!B:B)</f>
        <v>incerto</v>
      </c>
      <c r="O220" t="str">
        <f>_xlfn.XLOOKUP(empresas_filtradas[[#This Row],[cnpj]], empresas_identificadas_compleme!A:A, empresas_identificadas_compleme!C:C)</f>
        <v>80km</v>
      </c>
    </row>
    <row r="221" spans="1:15" x14ac:dyDescent="0.25">
      <c r="A221">
        <v>44605617000106</v>
      </c>
      <c r="B221" t="s">
        <v>15</v>
      </c>
      <c r="C221">
        <v>2</v>
      </c>
      <c r="E221">
        <v>2014200</v>
      </c>
      <c r="F221" t="s">
        <v>433</v>
      </c>
      <c r="G221" t="s">
        <v>434</v>
      </c>
      <c r="H221">
        <v>88020010</v>
      </c>
      <c r="I221" t="s">
        <v>65</v>
      </c>
      <c r="J221">
        <v>8105</v>
      </c>
      <c r="K221" t="s">
        <v>435</v>
      </c>
      <c r="L221" t="str" cm="1">
        <f t="array" ref="L221">IF(SUMPRODUCT(COUNTIF(empresas_filtradas[[#This Row],[cnpj]:[email]],"*"&amp;#REF!&amp;"*"))&gt;0,"sim","não")</f>
        <v>não</v>
      </c>
      <c r="M221" t="s">
        <v>950</v>
      </c>
      <c r="N221" t="str">
        <f>_xlfn.XLOOKUP(empresas_filtradas[[#This Row],[cnpj]], empresas_identificadas_compleme!A:A, empresas_identificadas_compleme!B:B)</f>
        <v>talvez</v>
      </c>
      <c r="O221">
        <f>_xlfn.XLOOKUP(empresas_filtradas[[#This Row],[cnpj]], empresas_identificadas_compleme!A:A, empresas_identificadas_compleme!C:C)</f>
        <v>0</v>
      </c>
    </row>
    <row r="222" spans="1:15" hidden="1" x14ac:dyDescent="0.25">
      <c r="A222" s="1">
        <v>24380578006896</v>
      </c>
      <c r="B222" t="s">
        <v>15</v>
      </c>
      <c r="C222">
        <v>2</v>
      </c>
      <c r="E222">
        <v>2014200</v>
      </c>
      <c r="F222" t="s">
        <v>436</v>
      </c>
      <c r="G222" t="s">
        <v>15</v>
      </c>
      <c r="H222">
        <v>61939120</v>
      </c>
      <c r="I222" t="s">
        <v>108</v>
      </c>
      <c r="J222">
        <v>1585</v>
      </c>
      <c r="K222" t="s">
        <v>33</v>
      </c>
      <c r="L222" t="str" cm="1">
        <f t="array" ref="L222">IF(SUMPRODUCT(COUNTIF(empresas_filtradas[[#This Row],[cnpj]:[email]],"*"&amp;#REF!&amp;"*"))&gt;0,"sim","não")</f>
        <v>não</v>
      </c>
      <c r="M222" t="s">
        <v>728</v>
      </c>
      <c r="N222" t="str">
        <f>_xlfn.XLOOKUP(empresas_filtradas[[#This Row],[cnpj]], empresas_identificadas_compleme!A:A, empresas_identificadas_compleme!B:B)</f>
        <v>talvez</v>
      </c>
      <c r="O222" t="str">
        <f>_xlfn.XLOOKUP(empresas_filtradas[[#This Row],[cnpj]], empresas_identificadas_compleme!A:A, empresas_identificadas_compleme!C:C)</f>
        <v>CTF_APP e 80km</v>
      </c>
    </row>
    <row r="223" spans="1:15" hidden="1" x14ac:dyDescent="0.25">
      <c r="A223" s="1">
        <v>46541567000176</v>
      </c>
      <c r="B223" t="s">
        <v>437</v>
      </c>
      <c r="C223">
        <v>2</v>
      </c>
      <c r="E223">
        <v>2014200</v>
      </c>
      <c r="F223" t="s">
        <v>438</v>
      </c>
      <c r="G223" t="s">
        <v>15</v>
      </c>
      <c r="H223">
        <v>67030180</v>
      </c>
      <c r="I223" t="s">
        <v>78</v>
      </c>
      <c r="J223">
        <v>415</v>
      </c>
      <c r="K223" t="s">
        <v>439</v>
      </c>
      <c r="L223" t="str" cm="1">
        <f t="array" ref="L223">IF(SUMPRODUCT(COUNTIF(empresas_filtradas[[#This Row],[cnpj]:[email]],"*"&amp;#REF!&amp;"*"))&gt;0,"sim","não")</f>
        <v>não</v>
      </c>
      <c r="M223" t="s">
        <v>951</v>
      </c>
      <c r="N223" t="str">
        <f>_xlfn.XLOOKUP(empresas_filtradas[[#This Row],[cnpj]], empresas_identificadas_compleme!A:A, empresas_identificadas_compleme!B:B)</f>
        <v>talvez</v>
      </c>
      <c r="O223" t="str">
        <f>_xlfn.XLOOKUP(empresas_filtradas[[#This Row],[cnpj]], empresas_identificadas_compleme!A:A, empresas_identificadas_compleme!C:C)</f>
        <v>80km</v>
      </c>
    </row>
    <row r="224" spans="1:15" hidden="1" x14ac:dyDescent="0.25">
      <c r="A224" s="1">
        <v>35820448022377</v>
      </c>
      <c r="B224" t="s">
        <v>15</v>
      </c>
      <c r="C224">
        <v>2</v>
      </c>
      <c r="E224">
        <v>2014200</v>
      </c>
      <c r="F224" t="s">
        <v>16</v>
      </c>
      <c r="G224" t="s">
        <v>440</v>
      </c>
      <c r="H224">
        <v>36092901</v>
      </c>
      <c r="I224" t="s">
        <v>17</v>
      </c>
      <c r="J224">
        <v>4733</v>
      </c>
      <c r="K224" t="s">
        <v>33</v>
      </c>
      <c r="L224" t="str" cm="1">
        <f t="array" ref="L224">IF(SUMPRODUCT(COUNTIF(empresas_filtradas[[#This Row],[cnpj]:[email]],"*"&amp;#REF!&amp;"*"))&gt;0,"sim","não")</f>
        <v>não</v>
      </c>
      <c r="M224" t="s">
        <v>727</v>
      </c>
      <c r="N224" t="str">
        <f>_xlfn.XLOOKUP(empresas_filtradas[[#This Row],[cnpj]], empresas_identificadas_compleme!A:A, empresas_identificadas_compleme!B:B)</f>
        <v>talvez</v>
      </c>
      <c r="O224" t="str">
        <f>_xlfn.XLOOKUP(empresas_filtradas[[#This Row],[cnpj]], empresas_identificadas_compleme!A:A, empresas_identificadas_compleme!C:C)</f>
        <v>CTF_APP</v>
      </c>
    </row>
    <row r="225" spans="1:15" hidden="1" x14ac:dyDescent="0.25">
      <c r="A225">
        <v>48195800000131</v>
      </c>
      <c r="B225" t="s">
        <v>15</v>
      </c>
      <c r="C225">
        <v>2</v>
      </c>
      <c r="E225">
        <v>2014200</v>
      </c>
      <c r="F225" t="s">
        <v>82</v>
      </c>
      <c r="G225" t="s">
        <v>83</v>
      </c>
      <c r="H225">
        <v>30170008</v>
      </c>
      <c r="I225" t="s">
        <v>17</v>
      </c>
      <c r="J225">
        <v>4123</v>
      </c>
      <c r="K225" t="s">
        <v>84</v>
      </c>
      <c r="L225" t="str" cm="1">
        <f t="array" ref="L225">IF(SUMPRODUCT(COUNTIF(empresas_filtradas[[#This Row],[cnpj]:[email]],"*"&amp;#REF!&amp;"*"))&gt;0,"sim","não")</f>
        <v>não</v>
      </c>
      <c r="M225" t="s">
        <v>727</v>
      </c>
      <c r="N225" t="str">
        <f>_xlfn.XLOOKUP(empresas_filtradas[[#This Row],[cnpj]], empresas_identificadas_compleme!A:A, empresas_identificadas_compleme!B:B)</f>
        <v>talvez</v>
      </c>
      <c r="O225" t="str">
        <f>_xlfn.XLOOKUP(empresas_filtradas[[#This Row],[cnpj]], empresas_identificadas_compleme!A:A, empresas_identificadas_compleme!C:C)</f>
        <v>80km</v>
      </c>
    </row>
    <row r="226" spans="1:15" hidden="1" x14ac:dyDescent="0.25">
      <c r="A226">
        <v>27515154002116</v>
      </c>
      <c r="B226" t="s">
        <v>15</v>
      </c>
      <c r="C226">
        <v>2</v>
      </c>
      <c r="E226">
        <v>2014200</v>
      </c>
      <c r="F226" t="s">
        <v>441</v>
      </c>
      <c r="G226" t="s">
        <v>442</v>
      </c>
      <c r="H226">
        <v>42816140</v>
      </c>
      <c r="I226" t="s">
        <v>60</v>
      </c>
      <c r="J226">
        <v>3413</v>
      </c>
      <c r="K226" t="s">
        <v>443</v>
      </c>
      <c r="L226" t="str" cm="1">
        <f t="array" ref="L226">IF(SUMPRODUCT(COUNTIF(empresas_filtradas[[#This Row],[cnpj]:[email]],"*"&amp;#REF!&amp;"*"))&gt;0,"sim","não")</f>
        <v>não</v>
      </c>
      <c r="M226" t="s">
        <v>952</v>
      </c>
      <c r="N226" t="str">
        <f>_xlfn.XLOOKUP(empresas_filtradas[[#This Row],[cnpj]], empresas_identificadas_compleme!A:A, empresas_identificadas_compleme!B:B)</f>
        <v>talvez</v>
      </c>
      <c r="O226" t="str">
        <f>_xlfn.XLOOKUP(empresas_filtradas[[#This Row],[cnpj]], empresas_identificadas_compleme!A:A, empresas_identificadas_compleme!C:C)</f>
        <v>80km</v>
      </c>
    </row>
    <row r="227" spans="1:15" x14ac:dyDescent="0.25">
      <c r="A227">
        <v>9043891000308</v>
      </c>
      <c r="B227" t="s">
        <v>157</v>
      </c>
      <c r="C227">
        <v>2</v>
      </c>
      <c r="E227">
        <v>2014200</v>
      </c>
      <c r="F227" t="s">
        <v>16</v>
      </c>
      <c r="G227" t="s">
        <v>444</v>
      </c>
      <c r="H227">
        <v>29918899</v>
      </c>
      <c r="I227" t="s">
        <v>49</v>
      </c>
      <c r="J227">
        <v>5663</v>
      </c>
      <c r="K227" t="s">
        <v>160</v>
      </c>
      <c r="L227" t="str" cm="1">
        <f t="array" ref="L227">IF(SUMPRODUCT(COUNTIF(empresas_filtradas[[#This Row],[cnpj]:[email]],"*"&amp;#REF!&amp;"*"))&gt;0,"sim","não")</f>
        <v>não</v>
      </c>
      <c r="M227" t="s">
        <v>950</v>
      </c>
      <c r="N227" t="str">
        <f>_xlfn.XLOOKUP(empresas_filtradas[[#This Row],[cnpj]], empresas_identificadas_compleme!A:A, empresas_identificadas_compleme!B:B)</f>
        <v>talvez</v>
      </c>
      <c r="O227">
        <f>_xlfn.XLOOKUP(empresas_filtradas[[#This Row],[cnpj]], empresas_identificadas_compleme!A:A, empresas_identificadas_compleme!C:C)</f>
        <v>0</v>
      </c>
    </row>
    <row r="228" spans="1:15" x14ac:dyDescent="0.25">
      <c r="A228" s="1">
        <v>47847216000150</v>
      </c>
      <c r="B228" t="s">
        <v>15</v>
      </c>
      <c r="C228">
        <v>2</v>
      </c>
      <c r="D228">
        <v>105</v>
      </c>
      <c r="E228">
        <v>2014200</v>
      </c>
      <c r="F228" t="s">
        <v>445</v>
      </c>
      <c r="G228" t="s">
        <v>446</v>
      </c>
      <c r="H228">
        <v>60170021</v>
      </c>
      <c r="I228" t="s">
        <v>108</v>
      </c>
      <c r="J228">
        <v>1389</v>
      </c>
      <c r="K228" t="s">
        <v>447</v>
      </c>
      <c r="L228" t="str" cm="1">
        <f t="array" ref="L228">IF(SUMPRODUCT(COUNTIF(empresas_filtradas[[#This Row],[cnpj]:[email]],"*"&amp;#REF!&amp;"*"))&gt;0,"sim","não")</f>
        <v>não</v>
      </c>
      <c r="M228" t="s">
        <v>950</v>
      </c>
      <c r="N228" t="str">
        <f>_xlfn.XLOOKUP(empresas_filtradas[[#This Row],[cnpj]], empresas_identificadas_compleme!A:A, empresas_identificadas_compleme!B:B)</f>
        <v>talvez</v>
      </c>
      <c r="O228" t="str">
        <f>_xlfn.XLOOKUP(empresas_filtradas[[#This Row],[cnpj]], empresas_identificadas_compleme!A:A, empresas_identificadas_compleme!C:C)</f>
        <v>80km</v>
      </c>
    </row>
    <row r="229" spans="1:15" hidden="1" x14ac:dyDescent="0.25">
      <c r="A229">
        <v>51403119000146</v>
      </c>
      <c r="B229" t="s">
        <v>448</v>
      </c>
      <c r="C229">
        <v>2</v>
      </c>
      <c r="E229">
        <v>2014200</v>
      </c>
      <c r="F229" t="s">
        <v>441</v>
      </c>
      <c r="G229" t="s">
        <v>449</v>
      </c>
      <c r="H229">
        <v>42816140</v>
      </c>
      <c r="I229" t="s">
        <v>60</v>
      </c>
      <c r="J229">
        <v>3413</v>
      </c>
      <c r="K229" t="s">
        <v>443</v>
      </c>
      <c r="L229" t="str" cm="1">
        <f t="array" ref="L229">IF(SUMPRODUCT(COUNTIF(empresas_filtradas[[#This Row],[cnpj]:[email]],"*"&amp;#REF!&amp;"*"))&gt;0,"sim","não")</f>
        <v>não</v>
      </c>
      <c r="M229" t="s">
        <v>952</v>
      </c>
      <c r="N229" t="str">
        <f>_xlfn.XLOOKUP(empresas_filtradas[[#This Row],[cnpj]], empresas_identificadas_compleme!A:A, empresas_identificadas_compleme!B:B)</f>
        <v>talvez</v>
      </c>
      <c r="O229" t="str">
        <f>_xlfn.XLOOKUP(empresas_filtradas[[#This Row],[cnpj]], empresas_identificadas_compleme!A:A, empresas_identificadas_compleme!C:C)</f>
        <v>80km</v>
      </c>
    </row>
    <row r="230" spans="1:15" hidden="1" x14ac:dyDescent="0.25">
      <c r="A230">
        <v>35820448022539</v>
      </c>
      <c r="B230" t="s">
        <v>15</v>
      </c>
      <c r="C230">
        <v>2</v>
      </c>
      <c r="E230">
        <v>2014200</v>
      </c>
      <c r="F230" t="s">
        <v>450</v>
      </c>
      <c r="G230" t="s">
        <v>451</v>
      </c>
      <c r="H230">
        <v>36106000</v>
      </c>
      <c r="I230" t="s">
        <v>17</v>
      </c>
      <c r="J230">
        <v>4733</v>
      </c>
      <c r="K230" t="s">
        <v>247</v>
      </c>
      <c r="L230" t="str" cm="1">
        <f t="array" ref="L230">IF(SUMPRODUCT(COUNTIF(empresas_filtradas[[#This Row],[cnpj]:[email]],"*"&amp;#REF!&amp;"*"))&gt;0,"sim","não")</f>
        <v>não</v>
      </c>
      <c r="M230" t="s">
        <v>727</v>
      </c>
      <c r="N230" t="str">
        <f>_xlfn.XLOOKUP(empresas_filtradas[[#This Row],[cnpj]], empresas_identificadas_compleme!A:A, empresas_identificadas_compleme!B:B)</f>
        <v>talvez</v>
      </c>
      <c r="O230" t="str">
        <f>_xlfn.XLOOKUP(empresas_filtradas[[#This Row],[cnpj]], empresas_identificadas_compleme!A:A, empresas_identificadas_compleme!C:C)</f>
        <v>CTF_APP</v>
      </c>
    </row>
    <row r="231" spans="1:15" x14ac:dyDescent="0.25">
      <c r="A231" s="1">
        <v>54066651000103</v>
      </c>
      <c r="B231" t="s">
        <v>15</v>
      </c>
      <c r="C231">
        <v>2</v>
      </c>
      <c r="D231">
        <v>105</v>
      </c>
      <c r="E231">
        <v>2014200</v>
      </c>
      <c r="F231" t="s">
        <v>177</v>
      </c>
      <c r="G231" t="s">
        <v>452</v>
      </c>
      <c r="H231">
        <v>80540400</v>
      </c>
      <c r="I231" t="s">
        <v>45</v>
      </c>
      <c r="J231">
        <v>7535</v>
      </c>
      <c r="K231" t="s">
        <v>453</v>
      </c>
      <c r="L231" t="str" cm="1">
        <f t="array" ref="L231">IF(SUMPRODUCT(COUNTIF(empresas_filtradas[[#This Row],[cnpj]:[email]],"*"&amp;#REF!&amp;"*"))&gt;0,"sim","não")</f>
        <v>não</v>
      </c>
      <c r="M231" t="s">
        <v>950</v>
      </c>
      <c r="N231" t="str">
        <f>_xlfn.XLOOKUP(empresas_filtradas[[#This Row],[cnpj]], empresas_identificadas_compleme!A:A, empresas_identificadas_compleme!B:B)</f>
        <v>talvez</v>
      </c>
      <c r="O231" t="str">
        <f>_xlfn.XLOOKUP(empresas_filtradas[[#This Row],[cnpj]], empresas_identificadas_compleme!A:A, empresas_identificadas_compleme!C:C)</f>
        <v>80km</v>
      </c>
    </row>
    <row r="232" spans="1:15" hidden="1" x14ac:dyDescent="0.25">
      <c r="A232">
        <v>54200653000143</v>
      </c>
      <c r="B232" t="s">
        <v>454</v>
      </c>
      <c r="C232">
        <v>2</v>
      </c>
      <c r="D232">
        <v>573</v>
      </c>
      <c r="E232">
        <v>2014200</v>
      </c>
      <c r="F232" t="s">
        <v>16</v>
      </c>
      <c r="G232" t="s">
        <v>455</v>
      </c>
      <c r="I232" t="s">
        <v>53</v>
      </c>
      <c r="J232">
        <v>9707</v>
      </c>
      <c r="K232" t="s">
        <v>456</v>
      </c>
      <c r="L232" t="str" cm="1">
        <f t="array" ref="L232">IF(SUMPRODUCT(COUNTIF(empresas_filtradas[[#This Row],[cnpj]:[email]],"*"&amp;#REF!&amp;"*"))&gt;0,"sim","não")</f>
        <v>não</v>
      </c>
      <c r="M232" t="s">
        <v>727</v>
      </c>
      <c r="N232" t="str">
        <f>_xlfn.XLOOKUP(empresas_filtradas[[#This Row],[cnpj]], empresas_identificadas_compleme!A:A, empresas_identificadas_compleme!B:B)</f>
        <v>talvez</v>
      </c>
      <c r="O232">
        <f>_xlfn.XLOOKUP(empresas_filtradas[[#This Row],[cnpj]], empresas_identificadas_compleme!A:A, empresas_identificadas_compleme!C:C)</f>
        <v>0</v>
      </c>
    </row>
    <row r="233" spans="1:15" hidden="1" x14ac:dyDescent="0.25">
      <c r="A233">
        <v>55380948000101</v>
      </c>
      <c r="B233" t="s">
        <v>457</v>
      </c>
      <c r="C233">
        <v>2</v>
      </c>
      <c r="D233">
        <v>105</v>
      </c>
      <c r="E233">
        <v>2014200</v>
      </c>
      <c r="F233" t="s">
        <v>31</v>
      </c>
      <c r="G233" t="s">
        <v>458</v>
      </c>
      <c r="H233">
        <v>49015250</v>
      </c>
      <c r="I233" t="s">
        <v>133</v>
      </c>
      <c r="J233">
        <v>3105</v>
      </c>
      <c r="K233" t="s">
        <v>88</v>
      </c>
      <c r="L233" t="str" cm="1">
        <f t="array" ref="L233">IF(SUMPRODUCT(COUNTIF(empresas_filtradas[[#This Row],[cnpj]:[email]],"*"&amp;#REF!&amp;"*"))&gt;0,"sim","não")</f>
        <v>não</v>
      </c>
      <c r="M233" t="s">
        <v>952</v>
      </c>
      <c r="N233" t="str">
        <f>_xlfn.XLOOKUP(empresas_filtradas[[#This Row],[cnpj]], empresas_identificadas_compleme!A:A, empresas_identificadas_compleme!B:B)</f>
        <v>talvez</v>
      </c>
      <c r="O233" t="str">
        <f>_xlfn.XLOOKUP(empresas_filtradas[[#This Row],[cnpj]], empresas_identificadas_compleme!A:A, empresas_identificadas_compleme!C:C)</f>
        <v>80km</v>
      </c>
    </row>
    <row r="234" spans="1:15" hidden="1" x14ac:dyDescent="0.25">
      <c r="A234" s="1">
        <v>61047369000144</v>
      </c>
      <c r="B234" t="s">
        <v>459</v>
      </c>
      <c r="C234">
        <v>2</v>
      </c>
      <c r="E234">
        <v>2014200</v>
      </c>
      <c r="F234" t="s">
        <v>228</v>
      </c>
      <c r="G234" t="s">
        <v>460</v>
      </c>
      <c r="H234">
        <v>8022310</v>
      </c>
      <c r="I234" t="s">
        <v>32</v>
      </c>
      <c r="J234">
        <v>7107</v>
      </c>
      <c r="K234" t="s">
        <v>461</v>
      </c>
      <c r="L234" t="str" cm="1">
        <f t="array" ref="L234">IF(SUMPRODUCT(COUNTIF(empresas_filtradas[[#This Row],[cnpj]:[email]],"*"&amp;#REF!&amp;"*"))&gt;0,"sim","não")</f>
        <v>não</v>
      </c>
      <c r="M234" t="s">
        <v>951</v>
      </c>
      <c r="N234" t="str">
        <f>_xlfn.XLOOKUP(empresas_filtradas[[#This Row],[cnpj]], empresas_identificadas_compleme!A:A, empresas_identificadas_compleme!B:B)</f>
        <v>talvez</v>
      </c>
      <c r="O234" t="str">
        <f>_xlfn.XLOOKUP(empresas_filtradas[[#This Row],[cnpj]], empresas_identificadas_compleme!A:A, empresas_identificadas_compleme!C:C)</f>
        <v>80km</v>
      </c>
    </row>
    <row r="235" spans="1:15" hidden="1" x14ac:dyDescent="0.25">
      <c r="A235">
        <v>331788001190</v>
      </c>
      <c r="B235" t="s">
        <v>15</v>
      </c>
      <c r="C235">
        <v>2</v>
      </c>
      <c r="E235">
        <v>2014200</v>
      </c>
      <c r="F235" t="s">
        <v>137</v>
      </c>
      <c r="G235" t="s">
        <v>15</v>
      </c>
      <c r="H235">
        <v>9380440</v>
      </c>
      <c r="I235" t="s">
        <v>32</v>
      </c>
      <c r="J235">
        <v>6689</v>
      </c>
      <c r="K235" t="s">
        <v>28</v>
      </c>
      <c r="L235" t="str" cm="1">
        <f t="array" ref="L235">IF(SUMPRODUCT(COUNTIF(empresas_filtradas[[#This Row],[cnpj]:[email]],"*"&amp;#REF!&amp;"*"))&gt;0,"sim","não")</f>
        <v>não</v>
      </c>
      <c r="M235" t="s">
        <v>727</v>
      </c>
      <c r="N235" t="str">
        <f>_xlfn.XLOOKUP(empresas_filtradas[[#This Row],[cnpj]], empresas_identificadas_compleme!A:A, empresas_identificadas_compleme!B:B)</f>
        <v>talvez</v>
      </c>
      <c r="O235" t="str">
        <f>_xlfn.XLOOKUP(empresas_filtradas[[#This Row],[cnpj]], empresas_identificadas_compleme!A:A, empresas_identificadas_compleme!C:C)</f>
        <v>80km</v>
      </c>
    </row>
    <row r="236" spans="1:15" hidden="1" x14ac:dyDescent="0.25">
      <c r="A236">
        <v>5471794000195</v>
      </c>
      <c r="B236" t="s">
        <v>15</v>
      </c>
      <c r="C236">
        <v>2</v>
      </c>
      <c r="D236">
        <v>249</v>
      </c>
      <c r="E236">
        <v>2014200</v>
      </c>
      <c r="F236" t="s">
        <v>462</v>
      </c>
      <c r="G236" t="s">
        <v>463</v>
      </c>
      <c r="I236" t="s">
        <v>53</v>
      </c>
      <c r="J236">
        <v>9707</v>
      </c>
      <c r="K236" t="s">
        <v>37</v>
      </c>
      <c r="L236" t="str" cm="1">
        <f t="array" ref="L236">IF(SUMPRODUCT(COUNTIF(empresas_filtradas[[#This Row],[cnpj]:[email]],"*"&amp;#REF!&amp;"*"))&gt;0,"sim","não")</f>
        <v>não</v>
      </c>
      <c r="M236" t="s">
        <v>727</v>
      </c>
      <c r="N236" t="str">
        <f>_xlfn.XLOOKUP(empresas_filtradas[[#This Row],[cnpj]], empresas_identificadas_compleme!A:A, empresas_identificadas_compleme!B:B)</f>
        <v>talvez</v>
      </c>
      <c r="O236">
        <f>_xlfn.XLOOKUP(empresas_filtradas[[#This Row],[cnpj]], empresas_identificadas_compleme!A:A, empresas_identificadas_compleme!C:C)</f>
        <v>0</v>
      </c>
    </row>
    <row r="237" spans="1:15" hidden="1" x14ac:dyDescent="0.25">
      <c r="A237">
        <v>2605266000274</v>
      </c>
      <c r="B237" t="s">
        <v>21</v>
      </c>
      <c r="C237">
        <v>2</v>
      </c>
      <c r="E237">
        <v>2014200</v>
      </c>
      <c r="F237" t="s">
        <v>16</v>
      </c>
      <c r="G237" t="s">
        <v>464</v>
      </c>
      <c r="H237">
        <v>11570000</v>
      </c>
      <c r="I237" t="s">
        <v>32</v>
      </c>
      <c r="J237">
        <v>6371</v>
      </c>
      <c r="K237" t="s">
        <v>24</v>
      </c>
      <c r="L237" t="str" cm="1">
        <f t="array" ref="L237">IF(SUMPRODUCT(COUNTIF(empresas_filtradas[[#This Row],[cnpj]:[email]],"*"&amp;#REF!&amp;"*"))&gt;0,"sim","não")</f>
        <v>não</v>
      </c>
      <c r="M237" t="s">
        <v>728</v>
      </c>
      <c r="N237" t="str">
        <f>_xlfn.XLOOKUP(empresas_filtradas[[#This Row],[cnpj]], empresas_identificadas_compleme!A:A, empresas_identificadas_compleme!B:B)</f>
        <v>talvez</v>
      </c>
      <c r="O237" t="str">
        <f>_xlfn.XLOOKUP(empresas_filtradas[[#This Row],[cnpj]], empresas_identificadas_compleme!A:A, empresas_identificadas_compleme!C:C)</f>
        <v>CTF_APP e 80km</v>
      </c>
    </row>
    <row r="238" spans="1:15" hidden="1" x14ac:dyDescent="0.25">
      <c r="A238">
        <v>5665483000167</v>
      </c>
      <c r="B238" t="s">
        <v>465</v>
      </c>
      <c r="C238">
        <v>2</v>
      </c>
      <c r="D238">
        <v>275</v>
      </c>
      <c r="E238">
        <v>2014200</v>
      </c>
      <c r="F238" t="s">
        <v>416</v>
      </c>
      <c r="G238" t="s">
        <v>15</v>
      </c>
      <c r="I238" t="s">
        <v>53</v>
      </c>
      <c r="J238">
        <v>9707</v>
      </c>
      <c r="K238" t="s">
        <v>15</v>
      </c>
      <c r="L238" t="str" cm="1">
        <f t="array" ref="L238">IF(SUMPRODUCT(COUNTIF(empresas_filtradas[[#This Row],[cnpj]:[email]],"*"&amp;#REF!&amp;"*"))&gt;0,"sim","não")</f>
        <v>não</v>
      </c>
      <c r="M238" t="s">
        <v>727</v>
      </c>
      <c r="N238" t="str">
        <f>_xlfn.XLOOKUP(empresas_filtradas[[#This Row],[cnpj]], empresas_identificadas_compleme!A:A, empresas_identificadas_compleme!B:B)</f>
        <v>talvez</v>
      </c>
      <c r="O238">
        <f>_xlfn.XLOOKUP(empresas_filtradas[[#This Row],[cnpj]], empresas_identificadas_compleme!A:A, empresas_identificadas_compleme!C:C)</f>
        <v>0</v>
      </c>
    </row>
    <row r="239" spans="1:15" hidden="1" x14ac:dyDescent="0.25">
      <c r="A239">
        <v>5679553000136</v>
      </c>
      <c r="B239" t="s">
        <v>466</v>
      </c>
      <c r="C239">
        <v>2</v>
      </c>
      <c r="D239">
        <v>63</v>
      </c>
      <c r="E239">
        <v>2014200</v>
      </c>
      <c r="F239" t="s">
        <v>63</v>
      </c>
      <c r="G239" t="s">
        <v>467</v>
      </c>
      <c r="I239" t="s">
        <v>53</v>
      </c>
      <c r="J239">
        <v>9707</v>
      </c>
      <c r="K239" t="s">
        <v>15</v>
      </c>
      <c r="L239" t="str" cm="1">
        <f t="array" ref="L239">IF(SUMPRODUCT(COUNTIF(empresas_filtradas[[#This Row],[cnpj]:[email]],"*"&amp;#REF!&amp;"*"))&gt;0,"sim","não")</f>
        <v>não</v>
      </c>
      <c r="M239" t="s">
        <v>727</v>
      </c>
      <c r="N239" t="str">
        <f>_xlfn.XLOOKUP(empresas_filtradas[[#This Row],[cnpj]], empresas_identificadas_compleme!A:A, empresas_identificadas_compleme!B:B)</f>
        <v>talvez</v>
      </c>
      <c r="O239">
        <f>_xlfn.XLOOKUP(empresas_filtradas[[#This Row],[cnpj]], empresas_identificadas_compleme!A:A, empresas_identificadas_compleme!C:C)</f>
        <v>0</v>
      </c>
    </row>
    <row r="240" spans="1:15" x14ac:dyDescent="0.25">
      <c r="A240">
        <v>2498631000108</v>
      </c>
      <c r="B240" t="s">
        <v>98</v>
      </c>
      <c r="C240">
        <v>2</v>
      </c>
      <c r="E240">
        <v>2014200</v>
      </c>
      <c r="F240" t="s">
        <v>99</v>
      </c>
      <c r="G240" t="s">
        <v>15</v>
      </c>
      <c r="H240">
        <v>18105008</v>
      </c>
      <c r="I240" t="s">
        <v>32</v>
      </c>
      <c r="J240">
        <v>7145</v>
      </c>
      <c r="K240" t="s">
        <v>101</v>
      </c>
      <c r="L240" t="str" cm="1">
        <f t="array" ref="L240">IF(SUMPRODUCT(COUNTIF(empresas_filtradas[[#This Row],[cnpj]:[email]],"*"&amp;#REF!&amp;"*"))&gt;0,"sim","não")</f>
        <v>não</v>
      </c>
      <c r="M240" t="s">
        <v>950</v>
      </c>
      <c r="N240" t="str">
        <f>_xlfn.XLOOKUP(empresas_filtradas[[#This Row],[cnpj]], empresas_identificadas_compleme!A:A, empresas_identificadas_compleme!B:B)</f>
        <v>talvez</v>
      </c>
      <c r="O240">
        <f>_xlfn.XLOOKUP(empresas_filtradas[[#This Row],[cnpj]], empresas_identificadas_compleme!A:A, empresas_identificadas_compleme!C:C)</f>
        <v>0</v>
      </c>
    </row>
    <row r="241" spans="1:15" hidden="1" x14ac:dyDescent="0.25">
      <c r="A241" s="1">
        <v>24380578002041</v>
      </c>
      <c r="B241" t="s">
        <v>15</v>
      </c>
      <c r="C241">
        <v>2</v>
      </c>
      <c r="E241">
        <v>2014200</v>
      </c>
      <c r="F241" t="s">
        <v>16</v>
      </c>
      <c r="G241" t="s">
        <v>468</v>
      </c>
      <c r="H241">
        <v>54335000</v>
      </c>
      <c r="I241" t="s">
        <v>92</v>
      </c>
      <c r="J241">
        <v>2457</v>
      </c>
      <c r="K241" t="s">
        <v>33</v>
      </c>
      <c r="L241" t="str" cm="1">
        <f t="array" ref="L241">IF(SUMPRODUCT(COUNTIF(empresas_filtradas[[#This Row],[cnpj]:[email]],"*"&amp;#REF!&amp;"*"))&gt;0,"sim","não")</f>
        <v>não</v>
      </c>
      <c r="M241" t="s">
        <v>728</v>
      </c>
      <c r="N241" t="str">
        <f>_xlfn.XLOOKUP(empresas_filtradas[[#This Row],[cnpj]], empresas_identificadas_compleme!A:A, empresas_identificadas_compleme!B:B)</f>
        <v>talvez</v>
      </c>
      <c r="O241" t="str">
        <f>_xlfn.XLOOKUP(empresas_filtradas[[#This Row],[cnpj]], empresas_identificadas_compleme!A:A, empresas_identificadas_compleme!C:C)</f>
        <v>CTF_APP e 80km</v>
      </c>
    </row>
    <row r="242" spans="1:15" hidden="1" x14ac:dyDescent="0.25">
      <c r="A242" s="1">
        <v>35820448016210</v>
      </c>
      <c r="B242" t="s">
        <v>15</v>
      </c>
      <c r="C242">
        <v>2</v>
      </c>
      <c r="E242">
        <v>2014200</v>
      </c>
      <c r="F242" t="s">
        <v>16</v>
      </c>
      <c r="G242" t="s">
        <v>469</v>
      </c>
      <c r="H242">
        <v>75340000</v>
      </c>
      <c r="I242" t="s">
        <v>173</v>
      </c>
      <c r="J242">
        <v>9389</v>
      </c>
      <c r="K242" t="s">
        <v>33</v>
      </c>
      <c r="L242" t="str" cm="1">
        <f t="array" ref="L242">IF(SUMPRODUCT(COUNTIF(empresas_filtradas[[#This Row],[cnpj]:[email]],"*"&amp;#REF!&amp;"*"))&gt;0,"sim","não")</f>
        <v>não</v>
      </c>
      <c r="M242" t="s">
        <v>727</v>
      </c>
      <c r="N242" t="str">
        <f>_xlfn.XLOOKUP(empresas_filtradas[[#This Row],[cnpj]], empresas_identificadas_compleme!A:A, empresas_identificadas_compleme!B:B)</f>
        <v>talvez</v>
      </c>
      <c r="O242" t="str">
        <f>_xlfn.XLOOKUP(empresas_filtradas[[#This Row],[cnpj]], empresas_identificadas_compleme!A:A, empresas_identificadas_compleme!C:C)</f>
        <v>CTF_APP</v>
      </c>
    </row>
    <row r="243" spans="1:15" hidden="1" x14ac:dyDescent="0.25">
      <c r="A243">
        <v>43843358000512</v>
      </c>
      <c r="B243" t="s">
        <v>15</v>
      </c>
      <c r="C243">
        <v>2</v>
      </c>
      <c r="E243">
        <v>2014200</v>
      </c>
      <c r="F243" t="s">
        <v>470</v>
      </c>
      <c r="G243" t="s">
        <v>15</v>
      </c>
      <c r="H243">
        <v>25251745</v>
      </c>
      <c r="I243" t="s">
        <v>27</v>
      </c>
      <c r="J243">
        <v>5833</v>
      </c>
      <c r="K243" t="s">
        <v>37</v>
      </c>
      <c r="L243" t="str" cm="1">
        <f t="array" ref="L243">IF(SUMPRODUCT(COUNTIF(empresas_filtradas[[#This Row],[cnpj]:[email]],"*"&amp;#REF!&amp;"*"))&gt;0,"sim","não")</f>
        <v>não</v>
      </c>
      <c r="M243" t="s">
        <v>728</v>
      </c>
      <c r="N243" t="str">
        <f>_xlfn.XLOOKUP(empresas_filtradas[[#This Row],[cnpj]], empresas_identificadas_compleme!A:A, empresas_identificadas_compleme!B:B)</f>
        <v>talvez</v>
      </c>
      <c r="O243" t="str">
        <f>_xlfn.XLOOKUP(empresas_filtradas[[#This Row],[cnpj]], empresas_identificadas_compleme!A:A, empresas_identificadas_compleme!C:C)</f>
        <v>CTF_APP e 80km</v>
      </c>
    </row>
    <row r="244" spans="1:15" hidden="1" x14ac:dyDescent="0.25">
      <c r="A244">
        <v>43843358001594</v>
      </c>
      <c r="B244" t="s">
        <v>15</v>
      </c>
      <c r="C244">
        <v>2</v>
      </c>
      <c r="E244">
        <v>2014200</v>
      </c>
      <c r="F244" t="s">
        <v>16</v>
      </c>
      <c r="G244" t="s">
        <v>471</v>
      </c>
      <c r="H244">
        <v>13847176</v>
      </c>
      <c r="I244" t="s">
        <v>32</v>
      </c>
      <c r="J244">
        <v>6715</v>
      </c>
      <c r="K244" t="s">
        <v>37</v>
      </c>
      <c r="L244" t="str" cm="1">
        <f t="array" ref="L244">IF(SUMPRODUCT(COUNTIF(empresas_filtradas[[#This Row],[cnpj]:[email]],"*"&amp;#REF!&amp;"*"))&gt;0,"sim","não")</f>
        <v>não</v>
      </c>
      <c r="M244" t="s">
        <v>728</v>
      </c>
      <c r="N244" t="str">
        <f>_xlfn.XLOOKUP(empresas_filtradas[[#This Row],[cnpj]], empresas_identificadas_compleme!A:A, empresas_identificadas_compleme!B:B)</f>
        <v>talvez</v>
      </c>
      <c r="O244" t="str">
        <f>_xlfn.XLOOKUP(empresas_filtradas[[#This Row],[cnpj]], empresas_identificadas_compleme!A:A, empresas_identificadas_compleme!C:C)</f>
        <v>CTF_APP e 80km</v>
      </c>
    </row>
    <row r="245" spans="1:15" hidden="1" x14ac:dyDescent="0.25">
      <c r="A245">
        <v>43843358002302</v>
      </c>
      <c r="B245" t="s">
        <v>15</v>
      </c>
      <c r="C245">
        <v>2</v>
      </c>
      <c r="E245">
        <v>2014200</v>
      </c>
      <c r="F245" t="s">
        <v>16</v>
      </c>
      <c r="G245" t="s">
        <v>472</v>
      </c>
      <c r="H245">
        <v>9154100</v>
      </c>
      <c r="I245" t="s">
        <v>32</v>
      </c>
      <c r="J245">
        <v>7057</v>
      </c>
      <c r="K245" t="s">
        <v>37</v>
      </c>
      <c r="L245" t="str" cm="1">
        <f t="array" ref="L245">IF(SUMPRODUCT(COUNTIF(empresas_filtradas[[#This Row],[cnpj]:[email]],"*"&amp;#REF!&amp;"*"))&gt;0,"sim","não")</f>
        <v>não</v>
      </c>
      <c r="M245" t="s">
        <v>728</v>
      </c>
      <c r="N245" t="str">
        <f>_xlfn.XLOOKUP(empresas_filtradas[[#This Row],[cnpj]], empresas_identificadas_compleme!A:A, empresas_identificadas_compleme!B:B)</f>
        <v>talvez</v>
      </c>
      <c r="O245" t="str">
        <f>_xlfn.XLOOKUP(empresas_filtradas[[#This Row],[cnpj]], empresas_identificadas_compleme!A:A, empresas_identificadas_compleme!C:C)</f>
        <v>CTF_APP e 80km</v>
      </c>
    </row>
    <row r="246" spans="1:15" hidden="1" x14ac:dyDescent="0.25">
      <c r="A246">
        <v>74481011000177</v>
      </c>
      <c r="B246" t="s">
        <v>348</v>
      </c>
      <c r="C246">
        <v>2</v>
      </c>
      <c r="E246">
        <v>2014200</v>
      </c>
      <c r="F246" t="s">
        <v>16</v>
      </c>
      <c r="G246" t="s">
        <v>473</v>
      </c>
      <c r="H246">
        <v>13690000</v>
      </c>
      <c r="I246" t="s">
        <v>32</v>
      </c>
      <c r="J246">
        <v>6375</v>
      </c>
      <c r="K246" t="s">
        <v>129</v>
      </c>
      <c r="L246" t="str" cm="1">
        <f t="array" ref="L246">IF(SUMPRODUCT(COUNTIF(empresas_filtradas[[#This Row],[cnpj]:[email]],"*"&amp;#REF!&amp;"*"))&gt;0,"sim","não")</f>
        <v>não</v>
      </c>
      <c r="M246" t="s">
        <v>951</v>
      </c>
      <c r="N246" t="str">
        <f>_xlfn.XLOOKUP(empresas_filtradas[[#This Row],[cnpj]], empresas_identificadas_compleme!A:A, empresas_identificadas_compleme!B:B)</f>
        <v>talvez</v>
      </c>
      <c r="O246" t="str">
        <f>_xlfn.XLOOKUP(empresas_filtradas[[#This Row],[cnpj]], empresas_identificadas_compleme!A:A, empresas_identificadas_compleme!C:C)</f>
        <v>CTF_APP</v>
      </c>
    </row>
    <row r="247" spans="1:15" hidden="1" x14ac:dyDescent="0.25">
      <c r="A247">
        <v>60619202001705</v>
      </c>
      <c r="B247" t="s">
        <v>21</v>
      </c>
      <c r="C247">
        <v>2</v>
      </c>
      <c r="E247">
        <v>2014200</v>
      </c>
      <c r="F247" t="s">
        <v>474</v>
      </c>
      <c r="G247" t="s">
        <v>15</v>
      </c>
      <c r="H247">
        <v>36092030</v>
      </c>
      <c r="I247" t="s">
        <v>17</v>
      </c>
      <c r="J247">
        <v>4733</v>
      </c>
      <c r="K247" t="s">
        <v>24</v>
      </c>
      <c r="L247" t="str" cm="1">
        <f t="array" ref="L247">IF(SUMPRODUCT(COUNTIF(empresas_filtradas[[#This Row],[cnpj]:[email]],"*"&amp;#REF!&amp;"*"))&gt;0,"sim","não")</f>
        <v>não</v>
      </c>
      <c r="M247" t="s">
        <v>727</v>
      </c>
      <c r="N247" t="str">
        <f>_xlfn.XLOOKUP(empresas_filtradas[[#This Row],[cnpj]], empresas_identificadas_compleme!A:A, empresas_identificadas_compleme!B:B)</f>
        <v>talvez</v>
      </c>
      <c r="O247" t="str">
        <f>_xlfn.XLOOKUP(empresas_filtradas[[#This Row],[cnpj]], empresas_identificadas_compleme!A:A, empresas_identificadas_compleme!C:C)</f>
        <v>CTF_APP</v>
      </c>
    </row>
    <row r="248" spans="1:15" hidden="1" x14ac:dyDescent="0.25">
      <c r="A248" s="1">
        <v>35820448014196</v>
      </c>
      <c r="B248" t="s">
        <v>475</v>
      </c>
      <c r="C248">
        <v>2</v>
      </c>
      <c r="E248">
        <v>2014200</v>
      </c>
      <c r="F248" t="s">
        <v>16</v>
      </c>
      <c r="G248" t="s">
        <v>15</v>
      </c>
      <c r="H248">
        <v>11570900</v>
      </c>
      <c r="I248" t="s">
        <v>32</v>
      </c>
      <c r="J248">
        <v>6371</v>
      </c>
      <c r="K248" t="s">
        <v>33</v>
      </c>
      <c r="L248" t="str" cm="1">
        <f t="array" ref="L248">IF(SUMPRODUCT(COUNTIF(empresas_filtradas[[#This Row],[cnpj]:[email]],"*"&amp;#REF!&amp;"*"))&gt;0,"sim","não")</f>
        <v>não</v>
      </c>
      <c r="M248" t="s">
        <v>727</v>
      </c>
      <c r="N248" t="str">
        <f>_xlfn.XLOOKUP(empresas_filtradas[[#This Row],[cnpj]], empresas_identificadas_compleme!A:A, empresas_identificadas_compleme!B:B)</f>
        <v>talvez</v>
      </c>
      <c r="O248" t="str">
        <f>_xlfn.XLOOKUP(empresas_filtradas[[#This Row],[cnpj]], empresas_identificadas_compleme!A:A, empresas_identificadas_compleme!C:C)</f>
        <v>CTF_APP e 80km</v>
      </c>
    </row>
    <row r="249" spans="1:15" hidden="1" x14ac:dyDescent="0.25">
      <c r="A249">
        <v>24380578002980</v>
      </c>
      <c r="B249" t="s">
        <v>15</v>
      </c>
      <c r="C249">
        <v>2</v>
      </c>
      <c r="E249">
        <v>2014200</v>
      </c>
      <c r="F249" t="s">
        <v>16</v>
      </c>
      <c r="G249" t="s">
        <v>15</v>
      </c>
      <c r="H249">
        <v>42816120</v>
      </c>
      <c r="I249" t="s">
        <v>60</v>
      </c>
      <c r="J249">
        <v>3413</v>
      </c>
      <c r="K249" t="s">
        <v>33</v>
      </c>
      <c r="L249" t="str" cm="1">
        <f t="array" ref="L249">IF(SUMPRODUCT(COUNTIF(empresas_filtradas[[#This Row],[cnpj]:[email]],"*"&amp;#REF!&amp;"*"))&gt;0,"sim","não")</f>
        <v>não</v>
      </c>
      <c r="M249" t="s">
        <v>728</v>
      </c>
      <c r="N249" t="str">
        <f>_xlfn.XLOOKUP(empresas_filtradas[[#This Row],[cnpj]], empresas_identificadas_compleme!A:A, empresas_identificadas_compleme!B:B)</f>
        <v>talvez</v>
      </c>
      <c r="O249" t="str">
        <f>_xlfn.XLOOKUP(empresas_filtradas[[#This Row],[cnpj]], empresas_identificadas_compleme!A:A, empresas_identificadas_compleme!C:C)</f>
        <v>CTF_APP e 80km</v>
      </c>
    </row>
    <row r="250" spans="1:15" hidden="1" x14ac:dyDescent="0.25">
      <c r="A250">
        <v>60619202000229</v>
      </c>
      <c r="B250" t="s">
        <v>21</v>
      </c>
      <c r="C250">
        <v>2</v>
      </c>
      <c r="E250">
        <v>2014200</v>
      </c>
      <c r="F250" t="s">
        <v>16</v>
      </c>
      <c r="G250" t="s">
        <v>476</v>
      </c>
      <c r="H250">
        <v>4247002</v>
      </c>
      <c r="I250" t="s">
        <v>32</v>
      </c>
      <c r="J250">
        <v>7107</v>
      </c>
      <c r="K250" t="s">
        <v>24</v>
      </c>
      <c r="L250" t="str" cm="1">
        <f t="array" ref="L250">IF(SUMPRODUCT(COUNTIF(empresas_filtradas[[#This Row],[cnpj]:[email]],"*"&amp;#REF!&amp;"*"))&gt;0,"sim","não")</f>
        <v>não</v>
      </c>
      <c r="M250" t="s">
        <v>728</v>
      </c>
      <c r="N250" t="str">
        <f>_xlfn.XLOOKUP(empresas_filtradas[[#This Row],[cnpj]], empresas_identificadas_compleme!A:A, empresas_identificadas_compleme!B:B)</f>
        <v>talvez</v>
      </c>
      <c r="O250" t="str">
        <f>_xlfn.XLOOKUP(empresas_filtradas[[#This Row],[cnpj]], empresas_identificadas_compleme!A:A, empresas_identificadas_compleme!C:C)</f>
        <v>CTF_APP e 80km</v>
      </c>
    </row>
    <row r="251" spans="1:15" x14ac:dyDescent="0.25">
      <c r="A251">
        <v>94015757000100</v>
      </c>
      <c r="B251" t="s">
        <v>15</v>
      </c>
      <c r="C251">
        <v>2</v>
      </c>
      <c r="E251">
        <v>2014200</v>
      </c>
      <c r="F251" t="s">
        <v>477</v>
      </c>
      <c r="G251" t="s">
        <v>15</v>
      </c>
      <c r="H251">
        <v>99718000</v>
      </c>
      <c r="I251" t="s">
        <v>117</v>
      </c>
      <c r="J251">
        <v>1154</v>
      </c>
      <c r="K251" t="s">
        <v>478</v>
      </c>
      <c r="L251" t="str" cm="1">
        <f t="array" ref="L251">IF(SUMPRODUCT(COUNTIF(empresas_filtradas[[#This Row],[cnpj]:[email]],"*"&amp;#REF!&amp;"*"))&gt;0,"sim","não")</f>
        <v>não</v>
      </c>
      <c r="M251" t="s">
        <v>950</v>
      </c>
      <c r="N251" t="str">
        <f>_xlfn.XLOOKUP(empresas_filtradas[[#This Row],[cnpj]], empresas_identificadas_compleme!A:A, empresas_identificadas_compleme!B:B)</f>
        <v>talvez</v>
      </c>
      <c r="O251">
        <f>_xlfn.XLOOKUP(empresas_filtradas[[#This Row],[cnpj]], empresas_identificadas_compleme!A:A, empresas_identificadas_compleme!C:C)</f>
        <v>0</v>
      </c>
    </row>
    <row r="252" spans="1:15" hidden="1" x14ac:dyDescent="0.25">
      <c r="A252">
        <v>60619202002949</v>
      </c>
      <c r="B252" t="s">
        <v>21</v>
      </c>
      <c r="C252">
        <v>2</v>
      </c>
      <c r="E252">
        <v>2014200</v>
      </c>
      <c r="F252" t="s">
        <v>479</v>
      </c>
      <c r="G252" t="s">
        <v>15</v>
      </c>
      <c r="H252">
        <v>27525598</v>
      </c>
      <c r="I252" t="s">
        <v>27</v>
      </c>
      <c r="J252">
        <v>5883</v>
      </c>
      <c r="K252" t="s">
        <v>24</v>
      </c>
      <c r="L252" t="str" cm="1">
        <f t="array" ref="L252">IF(SUMPRODUCT(COUNTIF(empresas_filtradas[[#This Row],[cnpj]:[email]],"*"&amp;#REF!&amp;"*"))&gt;0,"sim","não")</f>
        <v>não</v>
      </c>
      <c r="M252" t="s">
        <v>728</v>
      </c>
      <c r="N252" t="str">
        <f>_xlfn.XLOOKUP(empresas_filtradas[[#This Row],[cnpj]], empresas_identificadas_compleme!A:A, empresas_identificadas_compleme!B:B)</f>
        <v>talvez</v>
      </c>
      <c r="O252" t="str">
        <f>_xlfn.XLOOKUP(empresas_filtradas[[#This Row],[cnpj]], empresas_identificadas_compleme!A:A, empresas_identificadas_compleme!C:C)</f>
        <v>CTF_APP e 80km</v>
      </c>
    </row>
    <row r="253" spans="1:15" hidden="1" x14ac:dyDescent="0.25">
      <c r="A253">
        <v>60619202006693</v>
      </c>
      <c r="B253" t="s">
        <v>21</v>
      </c>
      <c r="C253">
        <v>2</v>
      </c>
      <c r="E253">
        <v>2014200</v>
      </c>
      <c r="F253" t="s">
        <v>140</v>
      </c>
      <c r="G253" t="s">
        <v>156</v>
      </c>
      <c r="H253">
        <v>81460120</v>
      </c>
      <c r="I253" t="s">
        <v>45</v>
      </c>
      <c r="J253">
        <v>7535</v>
      </c>
      <c r="K253" t="s">
        <v>24</v>
      </c>
      <c r="L253" t="str" cm="1">
        <f t="array" ref="L253">IF(SUMPRODUCT(COUNTIF(empresas_filtradas[[#This Row],[cnpj]:[email]],"*"&amp;#REF!&amp;"*"))&gt;0,"sim","não")</f>
        <v>não</v>
      </c>
      <c r="M253" t="s">
        <v>728</v>
      </c>
      <c r="N253" t="str">
        <f>_xlfn.XLOOKUP(empresas_filtradas[[#This Row],[cnpj]], empresas_identificadas_compleme!A:A, empresas_identificadas_compleme!B:B)</f>
        <v>talvez</v>
      </c>
      <c r="O253" t="str">
        <f>_xlfn.XLOOKUP(empresas_filtradas[[#This Row],[cnpj]], empresas_identificadas_compleme!A:A, empresas_identificadas_compleme!C:C)</f>
        <v>CTF_APP e 80km</v>
      </c>
    </row>
    <row r="254" spans="1:15" x14ac:dyDescent="0.25">
      <c r="A254">
        <v>19259496000140</v>
      </c>
      <c r="B254" t="s">
        <v>15</v>
      </c>
      <c r="C254">
        <v>2</v>
      </c>
      <c r="E254">
        <v>2014200</v>
      </c>
      <c r="F254" t="s">
        <v>16</v>
      </c>
      <c r="G254" t="s">
        <v>15</v>
      </c>
      <c r="H254">
        <v>89620000</v>
      </c>
      <c r="I254" t="s">
        <v>65</v>
      </c>
      <c r="J254">
        <v>8069</v>
      </c>
      <c r="K254" t="s">
        <v>480</v>
      </c>
      <c r="L254" t="str" cm="1">
        <f t="array" ref="L254">IF(SUMPRODUCT(COUNTIF(empresas_filtradas[[#This Row],[cnpj]:[email]],"*"&amp;#REF!&amp;"*"))&gt;0,"sim","não")</f>
        <v>não</v>
      </c>
      <c r="M254" t="s">
        <v>950</v>
      </c>
      <c r="N254" t="str">
        <f>_xlfn.XLOOKUP(empresas_filtradas[[#This Row],[cnpj]], empresas_identificadas_compleme!A:A, empresas_identificadas_compleme!B:B)</f>
        <v>incerto</v>
      </c>
      <c r="O254" t="str">
        <f>_xlfn.XLOOKUP(empresas_filtradas[[#This Row],[cnpj]], empresas_identificadas_compleme!A:A, empresas_identificadas_compleme!C:C)</f>
        <v>CTF_APP</v>
      </c>
    </row>
    <row r="255" spans="1:15" x14ac:dyDescent="0.25">
      <c r="A255" s="1">
        <v>5329135000380</v>
      </c>
      <c r="B255" t="s">
        <v>15</v>
      </c>
      <c r="C255">
        <v>2</v>
      </c>
      <c r="E255">
        <v>2014200</v>
      </c>
      <c r="F255" t="s">
        <v>196</v>
      </c>
      <c r="G255" t="s">
        <v>481</v>
      </c>
      <c r="H255">
        <v>57100000</v>
      </c>
      <c r="I255" t="s">
        <v>19</v>
      </c>
      <c r="J255">
        <v>2853</v>
      </c>
      <c r="K255" t="s">
        <v>482</v>
      </c>
      <c r="L255" t="str" cm="1">
        <f t="array" ref="L255">IF(SUMPRODUCT(COUNTIF(empresas_filtradas[[#This Row],[cnpj]:[email]],"*"&amp;#REF!&amp;"*"))&gt;0,"sim","não")</f>
        <v>não</v>
      </c>
      <c r="M255" t="s">
        <v>950</v>
      </c>
      <c r="N255" t="str">
        <f>_xlfn.XLOOKUP(empresas_filtradas[[#This Row],[cnpj]], empresas_identificadas_compleme!A:A, empresas_identificadas_compleme!B:B)</f>
        <v>talvez</v>
      </c>
      <c r="O255" t="str">
        <f>_xlfn.XLOOKUP(empresas_filtradas[[#This Row],[cnpj]], empresas_identificadas_compleme!A:A, empresas_identificadas_compleme!C:C)</f>
        <v>80km</v>
      </c>
    </row>
    <row r="256" spans="1:15" x14ac:dyDescent="0.25">
      <c r="A256">
        <v>4292445000305</v>
      </c>
      <c r="B256" t="s">
        <v>483</v>
      </c>
      <c r="C256">
        <v>2</v>
      </c>
      <c r="E256">
        <v>2014200</v>
      </c>
      <c r="F256" t="s">
        <v>196</v>
      </c>
      <c r="G256" t="s">
        <v>484</v>
      </c>
      <c r="H256">
        <v>49160000</v>
      </c>
      <c r="I256" t="s">
        <v>133</v>
      </c>
      <c r="J256">
        <v>3195</v>
      </c>
      <c r="K256" t="s">
        <v>15</v>
      </c>
      <c r="L256" t="str" cm="1">
        <f t="array" ref="L256">IF(SUMPRODUCT(COUNTIF(empresas_filtradas[[#This Row],[cnpj]:[email]],"*"&amp;#REF!&amp;"*"))&gt;0,"sim","não")</f>
        <v>não</v>
      </c>
      <c r="M256" t="s">
        <v>950</v>
      </c>
      <c r="N256" t="e">
        <f>_xlfn.XLOOKUP(empresas_filtradas[[#This Row],[cnpj]], empresas_identificadas_compleme!A:A, empresas_identificadas_compleme!B:B)</f>
        <v>#N/A</v>
      </c>
      <c r="O256" t="e">
        <f>_xlfn.XLOOKUP(empresas_filtradas[[#This Row],[cnpj]], empresas_identificadas_compleme!A:A, empresas_identificadas_compleme!C:C)</f>
        <v>#N/A</v>
      </c>
    </row>
    <row r="257" spans="1:15" hidden="1" x14ac:dyDescent="0.25">
      <c r="A257" s="1">
        <v>35820448020838</v>
      </c>
      <c r="B257" t="s">
        <v>15</v>
      </c>
      <c r="C257">
        <v>2</v>
      </c>
      <c r="E257">
        <v>2014200</v>
      </c>
      <c r="F257" t="s">
        <v>485</v>
      </c>
      <c r="G257" t="s">
        <v>486</v>
      </c>
      <c r="H257">
        <v>13412010</v>
      </c>
      <c r="I257" t="s">
        <v>32</v>
      </c>
      <c r="J257">
        <v>6875</v>
      </c>
      <c r="K257" t="s">
        <v>33</v>
      </c>
      <c r="L257" t="str" cm="1">
        <f t="array" ref="L257">IF(SUMPRODUCT(COUNTIF(empresas_filtradas[[#This Row],[cnpj]:[email]],"*"&amp;#REF!&amp;"*"))&gt;0,"sim","não")</f>
        <v>não</v>
      </c>
      <c r="M257" t="s">
        <v>728</v>
      </c>
      <c r="N257" t="str">
        <f>_xlfn.XLOOKUP(empresas_filtradas[[#This Row],[cnpj]], empresas_identificadas_compleme!A:A, empresas_identificadas_compleme!B:B)</f>
        <v>talvez</v>
      </c>
      <c r="O257" t="str">
        <f>_xlfn.XLOOKUP(empresas_filtradas[[#This Row],[cnpj]], empresas_identificadas_compleme!A:A, empresas_identificadas_compleme!C:C)</f>
        <v>CTF_APP e 80km</v>
      </c>
    </row>
    <row r="258" spans="1:15" hidden="1" x14ac:dyDescent="0.25">
      <c r="A258" s="1">
        <v>35820448020919</v>
      </c>
      <c r="B258" t="s">
        <v>15</v>
      </c>
      <c r="C258">
        <v>2</v>
      </c>
      <c r="E258">
        <v>2014200</v>
      </c>
      <c r="F258" t="s">
        <v>109</v>
      </c>
      <c r="G258" t="s">
        <v>15</v>
      </c>
      <c r="H258">
        <v>93212110</v>
      </c>
      <c r="I258" t="s">
        <v>117</v>
      </c>
      <c r="J258">
        <v>8901</v>
      </c>
      <c r="K258" t="s">
        <v>33</v>
      </c>
      <c r="L258" t="str" cm="1">
        <f t="array" ref="L258">IF(SUMPRODUCT(COUNTIF(empresas_filtradas[[#This Row],[cnpj]:[email]],"*"&amp;#REF!&amp;"*"))&gt;0,"sim","não")</f>
        <v>não</v>
      </c>
      <c r="M258" t="s">
        <v>727</v>
      </c>
      <c r="N258" t="str">
        <f>_xlfn.XLOOKUP(empresas_filtradas[[#This Row],[cnpj]], empresas_identificadas_compleme!A:A, empresas_identificadas_compleme!B:B)</f>
        <v>talvez</v>
      </c>
      <c r="O258" t="str">
        <f>_xlfn.XLOOKUP(empresas_filtradas[[#This Row],[cnpj]], empresas_identificadas_compleme!A:A, empresas_identificadas_compleme!C:C)</f>
        <v>80km</v>
      </c>
    </row>
    <row r="259" spans="1:15" x14ac:dyDescent="0.25">
      <c r="A259">
        <v>12520836000104</v>
      </c>
      <c r="B259" t="s">
        <v>487</v>
      </c>
      <c r="C259">
        <v>2</v>
      </c>
      <c r="E259">
        <v>2014200</v>
      </c>
      <c r="F259" t="s">
        <v>488</v>
      </c>
      <c r="G259" t="s">
        <v>489</v>
      </c>
      <c r="H259">
        <v>78149323</v>
      </c>
      <c r="I259" t="s">
        <v>23</v>
      </c>
      <c r="J259">
        <v>9167</v>
      </c>
      <c r="K259" t="s">
        <v>490</v>
      </c>
      <c r="L259" t="str" cm="1">
        <f t="array" ref="L259">IF(SUMPRODUCT(COUNTIF(empresas_filtradas[[#This Row],[cnpj]:[email]],"*"&amp;#REF!&amp;"*"))&gt;0,"sim","não")</f>
        <v>não</v>
      </c>
      <c r="M259" t="s">
        <v>950</v>
      </c>
      <c r="N259" t="str">
        <f>_xlfn.XLOOKUP(empresas_filtradas[[#This Row],[cnpj]], empresas_identificadas_compleme!A:A, empresas_identificadas_compleme!B:B)</f>
        <v>talvez</v>
      </c>
      <c r="O259">
        <f>_xlfn.XLOOKUP(empresas_filtradas[[#This Row],[cnpj]], empresas_identificadas_compleme!A:A, empresas_identificadas_compleme!C:C)</f>
        <v>0</v>
      </c>
    </row>
    <row r="260" spans="1:15" x14ac:dyDescent="0.25">
      <c r="A260" s="1">
        <v>19917881000219</v>
      </c>
      <c r="B260" t="s">
        <v>15</v>
      </c>
      <c r="C260">
        <v>2</v>
      </c>
      <c r="E260">
        <v>2014200</v>
      </c>
      <c r="F260" t="s">
        <v>491</v>
      </c>
      <c r="G260" t="s">
        <v>156</v>
      </c>
      <c r="H260">
        <v>69089035</v>
      </c>
      <c r="I260" t="s">
        <v>114</v>
      </c>
      <c r="J260">
        <v>255</v>
      </c>
      <c r="K260" t="s">
        <v>492</v>
      </c>
      <c r="L260" t="str" cm="1">
        <f t="array" ref="L260">IF(SUMPRODUCT(COUNTIF(empresas_filtradas[[#This Row],[cnpj]:[email]],"*"&amp;#REF!&amp;"*"))&gt;0,"sim","não")</f>
        <v>não</v>
      </c>
      <c r="M260" t="s">
        <v>950</v>
      </c>
      <c r="N260" t="str">
        <f>_xlfn.XLOOKUP(empresas_filtradas[[#This Row],[cnpj]], empresas_identificadas_compleme!A:A, empresas_identificadas_compleme!B:B)</f>
        <v>talvez</v>
      </c>
      <c r="O260" t="str">
        <f>_xlfn.XLOOKUP(empresas_filtradas[[#This Row],[cnpj]], empresas_identificadas_compleme!A:A, empresas_identificadas_compleme!C:C)</f>
        <v>CTF_APP</v>
      </c>
    </row>
    <row r="261" spans="1:15" x14ac:dyDescent="0.25">
      <c r="A261">
        <v>9536508000183</v>
      </c>
      <c r="B261" t="s">
        <v>493</v>
      </c>
      <c r="C261">
        <v>2</v>
      </c>
      <c r="E261">
        <v>2014200</v>
      </c>
      <c r="F261" t="s">
        <v>494</v>
      </c>
      <c r="G261" t="s">
        <v>495</v>
      </c>
      <c r="H261">
        <v>22631900</v>
      </c>
      <c r="I261" t="s">
        <v>27</v>
      </c>
      <c r="J261">
        <v>6001</v>
      </c>
      <c r="K261" t="s">
        <v>496</v>
      </c>
      <c r="L261" t="str" cm="1">
        <f t="array" ref="L261">IF(SUMPRODUCT(COUNTIF(empresas_filtradas[[#This Row],[cnpj]:[email]],"*"&amp;#REF!&amp;"*"))&gt;0,"sim","não")</f>
        <v>não</v>
      </c>
      <c r="M261" t="s">
        <v>950</v>
      </c>
      <c r="N261" t="e">
        <f>_xlfn.XLOOKUP(empresas_filtradas[[#This Row],[cnpj]], empresas_identificadas_compleme!A:A, empresas_identificadas_compleme!B:B)</f>
        <v>#N/A</v>
      </c>
      <c r="O261" t="e">
        <f>_xlfn.XLOOKUP(empresas_filtradas[[#This Row],[cnpj]], empresas_identificadas_compleme!A:A, empresas_identificadas_compleme!C:C)</f>
        <v>#N/A</v>
      </c>
    </row>
    <row r="262" spans="1:15" x14ac:dyDescent="0.25">
      <c r="A262" s="1">
        <v>7312248000307</v>
      </c>
      <c r="B262" t="s">
        <v>497</v>
      </c>
      <c r="C262">
        <v>2</v>
      </c>
      <c r="E262">
        <v>2014200</v>
      </c>
      <c r="F262" t="s">
        <v>498</v>
      </c>
      <c r="G262" t="s">
        <v>499</v>
      </c>
      <c r="H262">
        <v>69075010</v>
      </c>
      <c r="I262" t="s">
        <v>114</v>
      </c>
      <c r="J262">
        <v>255</v>
      </c>
      <c r="K262" t="s">
        <v>15</v>
      </c>
      <c r="L262" t="str" cm="1">
        <f t="array" ref="L262">IF(SUMPRODUCT(COUNTIF(empresas_filtradas[[#This Row],[cnpj]:[email]],"*"&amp;#REF!&amp;"*"))&gt;0,"sim","não")</f>
        <v>não</v>
      </c>
      <c r="M262" t="s">
        <v>950</v>
      </c>
      <c r="N262" t="str">
        <f>_xlfn.XLOOKUP(empresas_filtradas[[#This Row],[cnpj]], empresas_identificadas_compleme!A:A, empresas_identificadas_compleme!B:B)</f>
        <v>talvez</v>
      </c>
      <c r="O262" t="str">
        <f>_xlfn.XLOOKUP(empresas_filtradas[[#This Row],[cnpj]], empresas_identificadas_compleme!A:A, empresas_identificadas_compleme!C:C)</f>
        <v>CTF_APP</v>
      </c>
    </row>
    <row r="263" spans="1:15" x14ac:dyDescent="0.25">
      <c r="A263">
        <v>29105052000104</v>
      </c>
      <c r="B263" t="s">
        <v>500</v>
      </c>
      <c r="C263">
        <v>2</v>
      </c>
      <c r="D263">
        <v>245</v>
      </c>
      <c r="E263">
        <v>2014200</v>
      </c>
      <c r="F263" t="s">
        <v>16</v>
      </c>
      <c r="G263" t="s">
        <v>501</v>
      </c>
      <c r="I263" t="s">
        <v>53</v>
      </c>
      <c r="J263">
        <v>9707</v>
      </c>
      <c r="K263" t="s">
        <v>502</v>
      </c>
      <c r="L263" t="str" cm="1">
        <f t="array" ref="L263">IF(SUMPRODUCT(COUNTIF(empresas_filtradas[[#This Row],[cnpj]:[email]],"*"&amp;#REF!&amp;"*"))&gt;0,"sim","não")</f>
        <v>não</v>
      </c>
      <c r="M263" t="s">
        <v>950</v>
      </c>
      <c r="N263" t="e">
        <f>_xlfn.XLOOKUP(empresas_filtradas[[#This Row],[cnpj]], empresas_identificadas_compleme!A:A, empresas_identificadas_compleme!B:B)</f>
        <v>#N/A</v>
      </c>
      <c r="O263" t="e">
        <f>_xlfn.XLOOKUP(empresas_filtradas[[#This Row],[cnpj]], empresas_identificadas_compleme!A:A, empresas_identificadas_compleme!C:C)</f>
        <v>#N/A</v>
      </c>
    </row>
    <row r="264" spans="1:15" x14ac:dyDescent="0.25">
      <c r="A264">
        <v>29495341000167</v>
      </c>
      <c r="B264" t="s">
        <v>503</v>
      </c>
      <c r="C264">
        <v>2</v>
      </c>
      <c r="E264">
        <v>2014200</v>
      </c>
      <c r="F264" t="s">
        <v>16</v>
      </c>
      <c r="G264" t="s">
        <v>504</v>
      </c>
      <c r="H264">
        <v>18170000</v>
      </c>
      <c r="I264" t="s">
        <v>32</v>
      </c>
      <c r="J264">
        <v>6857</v>
      </c>
      <c r="K264" t="s">
        <v>505</v>
      </c>
      <c r="L264" t="str" cm="1">
        <f t="array" ref="L264">IF(SUMPRODUCT(COUNTIF(empresas_filtradas[[#This Row],[cnpj]:[email]],"*"&amp;#REF!&amp;"*"))&gt;0,"sim","não")</f>
        <v>não</v>
      </c>
      <c r="M264" t="s">
        <v>950</v>
      </c>
      <c r="N264" t="str">
        <f>_xlfn.XLOOKUP(empresas_filtradas[[#This Row],[cnpj]], empresas_identificadas_compleme!A:A, empresas_identificadas_compleme!B:B)</f>
        <v>talvez</v>
      </c>
      <c r="O264">
        <f>_xlfn.XLOOKUP(empresas_filtradas[[#This Row],[cnpj]], empresas_identificadas_compleme!A:A, empresas_identificadas_compleme!C:C)</f>
        <v>0</v>
      </c>
    </row>
    <row r="265" spans="1:15" x14ac:dyDescent="0.25">
      <c r="A265">
        <v>25975554000135</v>
      </c>
      <c r="B265" t="s">
        <v>506</v>
      </c>
      <c r="C265">
        <v>2</v>
      </c>
      <c r="E265">
        <v>2014200</v>
      </c>
      <c r="F265" t="s">
        <v>507</v>
      </c>
      <c r="G265" t="s">
        <v>15</v>
      </c>
      <c r="H265">
        <v>60861118</v>
      </c>
      <c r="I265" t="s">
        <v>108</v>
      </c>
      <c r="J265">
        <v>1389</v>
      </c>
      <c r="K265" t="s">
        <v>508</v>
      </c>
      <c r="L265" t="str" cm="1">
        <f t="array" ref="L265">IF(SUMPRODUCT(COUNTIF(empresas_filtradas[[#This Row],[cnpj]:[email]],"*"&amp;#REF!&amp;"*"))&gt;0,"sim","não")</f>
        <v>não</v>
      </c>
      <c r="M265" t="s">
        <v>950</v>
      </c>
      <c r="N265" t="str">
        <f>_xlfn.XLOOKUP(empresas_filtradas[[#This Row],[cnpj]], empresas_identificadas_compleme!A:A, empresas_identificadas_compleme!B:B)</f>
        <v>talvez</v>
      </c>
      <c r="O265" t="str">
        <f>_xlfn.XLOOKUP(empresas_filtradas[[#This Row],[cnpj]], empresas_identificadas_compleme!A:A, empresas_identificadas_compleme!C:C)</f>
        <v>CTF_APP e 80km</v>
      </c>
    </row>
    <row r="266" spans="1:15" hidden="1" x14ac:dyDescent="0.25">
      <c r="A266" s="1">
        <v>36231310000164</v>
      </c>
      <c r="B266" t="s">
        <v>509</v>
      </c>
      <c r="C266">
        <v>2</v>
      </c>
      <c r="E266">
        <v>2014200</v>
      </c>
      <c r="F266" t="s">
        <v>510</v>
      </c>
      <c r="G266" t="s">
        <v>511</v>
      </c>
      <c r="H266">
        <v>6315230</v>
      </c>
      <c r="I266" t="s">
        <v>32</v>
      </c>
      <c r="J266">
        <v>6313</v>
      </c>
      <c r="K266" t="s">
        <v>512</v>
      </c>
      <c r="L266" t="str" cm="1">
        <f t="array" ref="L266">IF(SUMPRODUCT(COUNTIF(empresas_filtradas[[#This Row],[cnpj]:[email]],"*"&amp;#REF!&amp;"*"))&gt;0,"sim","não")</f>
        <v>não</v>
      </c>
      <c r="M266" t="s">
        <v>951</v>
      </c>
      <c r="N266" t="str">
        <f>_xlfn.XLOOKUP(empresas_filtradas[[#This Row],[cnpj]], empresas_identificadas_compleme!A:A, empresas_identificadas_compleme!B:B)</f>
        <v>talvez</v>
      </c>
      <c r="O266" t="str">
        <f>_xlfn.XLOOKUP(empresas_filtradas[[#This Row],[cnpj]], empresas_identificadas_compleme!A:A, empresas_identificadas_compleme!C:C)</f>
        <v>80km</v>
      </c>
    </row>
    <row r="267" spans="1:15" x14ac:dyDescent="0.25">
      <c r="A267">
        <v>38714702000100</v>
      </c>
      <c r="B267" t="s">
        <v>513</v>
      </c>
      <c r="C267">
        <v>2</v>
      </c>
      <c r="E267">
        <v>2014200</v>
      </c>
      <c r="F267" t="s">
        <v>514</v>
      </c>
      <c r="G267" t="s">
        <v>424</v>
      </c>
      <c r="H267">
        <v>59608840</v>
      </c>
      <c r="I267" t="s">
        <v>71</v>
      </c>
      <c r="J267">
        <v>1759</v>
      </c>
      <c r="K267" t="s">
        <v>515</v>
      </c>
      <c r="L267" t="str" cm="1">
        <f t="array" ref="L267">IF(SUMPRODUCT(COUNTIF(empresas_filtradas[[#This Row],[cnpj]:[email]],"*"&amp;#REF!&amp;"*"))&gt;0,"sim","não")</f>
        <v>não</v>
      </c>
      <c r="M267" t="s">
        <v>950</v>
      </c>
      <c r="N267" t="e">
        <f>_xlfn.XLOOKUP(empresas_filtradas[[#This Row],[cnpj]], empresas_identificadas_compleme!A:A, empresas_identificadas_compleme!B:B)</f>
        <v>#N/A</v>
      </c>
      <c r="O267" t="e">
        <f>_xlfn.XLOOKUP(empresas_filtradas[[#This Row],[cnpj]], empresas_identificadas_compleme!A:A, empresas_identificadas_compleme!C:C)</f>
        <v>#N/A</v>
      </c>
    </row>
    <row r="268" spans="1:15" x14ac:dyDescent="0.25">
      <c r="A268">
        <v>41534826000118</v>
      </c>
      <c r="B268" t="s">
        <v>516</v>
      </c>
      <c r="C268">
        <v>2</v>
      </c>
      <c r="E268">
        <v>2014200</v>
      </c>
      <c r="F268" t="s">
        <v>517</v>
      </c>
      <c r="G268" t="s">
        <v>15</v>
      </c>
      <c r="H268">
        <v>83325030</v>
      </c>
      <c r="I268" t="s">
        <v>45</v>
      </c>
      <c r="J268">
        <v>5453</v>
      </c>
      <c r="K268" t="s">
        <v>518</v>
      </c>
      <c r="L268" t="str" cm="1">
        <f t="array" ref="L268">IF(SUMPRODUCT(COUNTIF(empresas_filtradas[[#This Row],[cnpj]:[email]],"*"&amp;#REF!&amp;"*"))&gt;0,"sim","não")</f>
        <v>não</v>
      </c>
      <c r="M268" t="s">
        <v>950</v>
      </c>
      <c r="N268" t="str">
        <f>_xlfn.XLOOKUP(empresas_filtradas[[#This Row],[cnpj]], empresas_identificadas_compleme!A:A, empresas_identificadas_compleme!B:B)</f>
        <v>produz_h2</v>
      </c>
      <c r="O268" t="str">
        <f>_xlfn.XLOOKUP(empresas_filtradas[[#This Row],[cnpj]], empresas_identificadas_compleme!A:A, empresas_identificadas_compleme!C:C)</f>
        <v>80km</v>
      </c>
    </row>
    <row r="269" spans="1:15" x14ac:dyDescent="0.25">
      <c r="A269">
        <v>44254786000149</v>
      </c>
      <c r="B269" t="s">
        <v>519</v>
      </c>
      <c r="C269">
        <v>2</v>
      </c>
      <c r="E269">
        <v>2014200</v>
      </c>
      <c r="F269" t="s">
        <v>520</v>
      </c>
      <c r="G269" t="s">
        <v>15</v>
      </c>
      <c r="H269">
        <v>71225000</v>
      </c>
      <c r="I269" t="s">
        <v>40</v>
      </c>
      <c r="J269">
        <v>9701</v>
      </c>
      <c r="K269" t="s">
        <v>521</v>
      </c>
      <c r="L269" t="str" cm="1">
        <f t="array" ref="L269">IF(SUMPRODUCT(COUNTIF(empresas_filtradas[[#This Row],[cnpj]:[email]],"*"&amp;#REF!&amp;"*"))&gt;0,"sim","não")</f>
        <v>não</v>
      </c>
      <c r="M269" t="s">
        <v>950</v>
      </c>
      <c r="N269" t="str">
        <f>_xlfn.XLOOKUP(empresas_filtradas[[#This Row],[cnpj]], empresas_identificadas_compleme!A:A, empresas_identificadas_compleme!B:B)</f>
        <v>talvez</v>
      </c>
      <c r="O269">
        <f>_xlfn.XLOOKUP(empresas_filtradas[[#This Row],[cnpj]], empresas_identificadas_compleme!A:A, empresas_identificadas_compleme!C:C)</f>
        <v>0</v>
      </c>
    </row>
    <row r="270" spans="1:15" x14ac:dyDescent="0.25">
      <c r="A270" s="1">
        <v>4888219000200</v>
      </c>
      <c r="B270" t="s">
        <v>157</v>
      </c>
      <c r="C270">
        <v>2</v>
      </c>
      <c r="E270">
        <v>2014200</v>
      </c>
      <c r="F270" t="s">
        <v>16</v>
      </c>
      <c r="G270" t="s">
        <v>444</v>
      </c>
      <c r="H270">
        <v>29918899</v>
      </c>
      <c r="I270" t="s">
        <v>49</v>
      </c>
      <c r="J270">
        <v>5663</v>
      </c>
      <c r="K270" t="s">
        <v>160</v>
      </c>
      <c r="L270" t="str" cm="1">
        <f t="array" ref="L270">IF(SUMPRODUCT(COUNTIF(empresas_filtradas[[#This Row],[cnpj]:[email]],"*"&amp;#REF!&amp;"*"))&gt;0,"sim","não")</f>
        <v>não</v>
      </c>
      <c r="M270" t="s">
        <v>950</v>
      </c>
      <c r="N270" t="str">
        <f>_xlfn.XLOOKUP(empresas_filtradas[[#This Row],[cnpj]], empresas_identificadas_compleme!A:A, empresas_identificadas_compleme!B:B)</f>
        <v>talvez</v>
      </c>
      <c r="O270" t="str">
        <f>_xlfn.XLOOKUP(empresas_filtradas[[#This Row],[cnpj]], empresas_identificadas_compleme!A:A, empresas_identificadas_compleme!C:C)</f>
        <v>CTF_APP</v>
      </c>
    </row>
    <row r="271" spans="1:15" hidden="1" x14ac:dyDescent="0.25">
      <c r="A271">
        <v>55794907000161</v>
      </c>
      <c r="B271" t="s">
        <v>15</v>
      </c>
      <c r="C271">
        <v>2</v>
      </c>
      <c r="D271">
        <v>105</v>
      </c>
      <c r="E271">
        <v>2014200</v>
      </c>
      <c r="F271" t="s">
        <v>522</v>
      </c>
      <c r="G271" t="s">
        <v>523</v>
      </c>
      <c r="H271">
        <v>60055170</v>
      </c>
      <c r="I271" t="s">
        <v>108</v>
      </c>
      <c r="J271">
        <v>1389</v>
      </c>
      <c r="K271" t="s">
        <v>524</v>
      </c>
      <c r="L271" t="str" cm="1">
        <f t="array" ref="L271">IF(SUMPRODUCT(COUNTIF(empresas_filtradas[[#This Row],[cnpj]:[email]],"*"&amp;#REF!&amp;"*"))&gt;0,"sim","não")</f>
        <v>não</v>
      </c>
      <c r="M271" t="s">
        <v>951</v>
      </c>
      <c r="N271" t="str">
        <f>_xlfn.XLOOKUP(empresas_filtradas[[#This Row],[cnpj]], empresas_identificadas_compleme!A:A, empresas_identificadas_compleme!B:B)</f>
        <v>incerto</v>
      </c>
      <c r="O271" t="str">
        <f>_xlfn.XLOOKUP(empresas_filtradas[[#This Row],[cnpj]], empresas_identificadas_compleme!A:A, empresas_identificadas_compleme!C:C)</f>
        <v>80km</v>
      </c>
    </row>
    <row r="272" spans="1:15" x14ac:dyDescent="0.25">
      <c r="A272">
        <v>59632999000134</v>
      </c>
      <c r="B272" t="s">
        <v>15</v>
      </c>
      <c r="C272">
        <v>2</v>
      </c>
      <c r="E272">
        <v>2014200</v>
      </c>
      <c r="F272" t="s">
        <v>525</v>
      </c>
      <c r="G272" t="s">
        <v>526</v>
      </c>
      <c r="H272">
        <v>27325001</v>
      </c>
      <c r="I272" t="s">
        <v>27</v>
      </c>
      <c r="J272">
        <v>5807</v>
      </c>
      <c r="K272" t="s">
        <v>527</v>
      </c>
      <c r="L272" t="str" cm="1">
        <f t="array" ref="L272">IF(SUMPRODUCT(COUNTIF(empresas_filtradas[[#This Row],[cnpj]:[email]],"*"&amp;#REF!&amp;"*"))&gt;0,"sim","não")</f>
        <v>não</v>
      </c>
      <c r="M272" t="s">
        <v>950</v>
      </c>
      <c r="N272" t="str">
        <f>_xlfn.XLOOKUP(empresas_filtradas[[#This Row],[cnpj]], empresas_identificadas_compleme!A:A, empresas_identificadas_compleme!B:B)</f>
        <v>incerto</v>
      </c>
      <c r="O272" t="str">
        <f>_xlfn.XLOOKUP(empresas_filtradas[[#This Row],[cnpj]], empresas_identificadas_compleme!A:A, empresas_identificadas_compleme!C:C)</f>
        <v>80km</v>
      </c>
    </row>
    <row r="273" spans="1:15" hidden="1" x14ac:dyDescent="0.25">
      <c r="A273" s="1">
        <v>35820448022881</v>
      </c>
      <c r="B273" t="s">
        <v>15</v>
      </c>
      <c r="C273">
        <v>2</v>
      </c>
      <c r="E273">
        <v>2014200</v>
      </c>
      <c r="F273" t="s">
        <v>16</v>
      </c>
      <c r="G273" t="s">
        <v>528</v>
      </c>
      <c r="H273">
        <v>79586899</v>
      </c>
      <c r="I273" t="s">
        <v>62</v>
      </c>
      <c r="J273">
        <v>9087</v>
      </c>
      <c r="K273" t="s">
        <v>33</v>
      </c>
      <c r="L273" t="str" cm="1">
        <f t="array" ref="L273">IF(SUMPRODUCT(COUNTIF(empresas_filtradas[[#This Row],[cnpj]:[email]],"*"&amp;#REF!&amp;"*"))&gt;0,"sim","não")</f>
        <v>não</v>
      </c>
      <c r="M273" t="s">
        <v>727</v>
      </c>
      <c r="N273" t="str">
        <f>_xlfn.XLOOKUP(empresas_filtradas[[#This Row],[cnpj]], empresas_identificadas_compleme!A:A, empresas_identificadas_compleme!B:B)</f>
        <v>talvez</v>
      </c>
      <c r="O273">
        <f>_xlfn.XLOOKUP(empresas_filtradas[[#This Row],[cnpj]], empresas_identificadas_compleme!A:A, empresas_identificadas_compleme!C:C)</f>
        <v>0</v>
      </c>
    </row>
    <row r="274" spans="1:15" hidden="1" x14ac:dyDescent="0.25">
      <c r="A274">
        <v>331788004106</v>
      </c>
      <c r="B274" t="s">
        <v>15</v>
      </c>
      <c r="C274">
        <v>2</v>
      </c>
      <c r="E274">
        <v>2014200</v>
      </c>
      <c r="F274" t="s">
        <v>529</v>
      </c>
      <c r="G274" t="s">
        <v>15</v>
      </c>
      <c r="H274">
        <v>87055406</v>
      </c>
      <c r="I274" t="s">
        <v>45</v>
      </c>
      <c r="J274">
        <v>7691</v>
      </c>
      <c r="K274" t="s">
        <v>28</v>
      </c>
      <c r="L274" t="str" cm="1">
        <f t="array" ref="L274">IF(SUMPRODUCT(COUNTIF(empresas_filtradas[[#This Row],[cnpj]:[email]],"*"&amp;#REF!&amp;"*"))&gt;0,"sim","não")</f>
        <v>não</v>
      </c>
      <c r="M274" t="s">
        <v>727</v>
      </c>
      <c r="N274" t="str">
        <f>_xlfn.XLOOKUP(empresas_filtradas[[#This Row],[cnpj]], empresas_identificadas_compleme!A:A, empresas_identificadas_compleme!B:B)</f>
        <v>talvez</v>
      </c>
      <c r="O274" t="str">
        <f>_xlfn.XLOOKUP(empresas_filtradas[[#This Row],[cnpj]], empresas_identificadas_compleme!A:A, empresas_identificadas_compleme!C:C)</f>
        <v>CTF_APP</v>
      </c>
    </row>
    <row r="275" spans="1:15" hidden="1" x14ac:dyDescent="0.25">
      <c r="A275">
        <v>331788002081</v>
      </c>
      <c r="B275" t="s">
        <v>38</v>
      </c>
      <c r="C275">
        <v>2</v>
      </c>
      <c r="E275">
        <v>2014200</v>
      </c>
      <c r="F275" t="s">
        <v>16</v>
      </c>
      <c r="G275" t="s">
        <v>15</v>
      </c>
      <c r="H275">
        <v>43813000</v>
      </c>
      <c r="I275" t="s">
        <v>60</v>
      </c>
      <c r="J275">
        <v>3429</v>
      </c>
      <c r="K275" t="s">
        <v>28</v>
      </c>
      <c r="L275" t="str" cm="1">
        <f t="array" ref="L275">IF(SUMPRODUCT(COUNTIF(empresas_filtradas[[#This Row],[cnpj]:[email]],"*"&amp;#REF!&amp;"*"))&gt;0,"sim","não")</f>
        <v>não</v>
      </c>
      <c r="M275" t="s">
        <v>728</v>
      </c>
      <c r="N275" t="str">
        <f>_xlfn.XLOOKUP(empresas_filtradas[[#This Row],[cnpj]], empresas_identificadas_compleme!A:A, empresas_identificadas_compleme!B:B)</f>
        <v>talvez</v>
      </c>
      <c r="O275" t="str">
        <f>_xlfn.XLOOKUP(empresas_filtradas[[#This Row],[cnpj]], empresas_identificadas_compleme!A:A, empresas_identificadas_compleme!C:C)</f>
        <v>CTF_APP e 80km</v>
      </c>
    </row>
    <row r="276" spans="1:15" hidden="1" x14ac:dyDescent="0.25">
      <c r="A276">
        <v>5470672000184</v>
      </c>
      <c r="B276" t="s">
        <v>15</v>
      </c>
      <c r="C276">
        <v>2</v>
      </c>
      <c r="D276">
        <v>249</v>
      </c>
      <c r="E276">
        <v>2014200</v>
      </c>
      <c r="F276" t="s">
        <v>462</v>
      </c>
      <c r="G276" t="s">
        <v>463</v>
      </c>
      <c r="I276" t="s">
        <v>53</v>
      </c>
      <c r="J276">
        <v>9707</v>
      </c>
      <c r="K276" t="s">
        <v>37</v>
      </c>
      <c r="L276" t="str" cm="1">
        <f t="array" ref="L276">IF(SUMPRODUCT(COUNTIF(empresas_filtradas[[#This Row],[cnpj]:[email]],"*"&amp;#REF!&amp;"*"))&gt;0,"sim","não")</f>
        <v>não</v>
      </c>
      <c r="M276" t="s">
        <v>727</v>
      </c>
      <c r="N276" t="str">
        <f>_xlfn.XLOOKUP(empresas_filtradas[[#This Row],[cnpj]], empresas_identificadas_compleme!A:A, empresas_identificadas_compleme!B:B)</f>
        <v>talvez</v>
      </c>
      <c r="O276">
        <f>_xlfn.XLOOKUP(empresas_filtradas[[#This Row],[cnpj]], empresas_identificadas_compleme!A:A, empresas_identificadas_compleme!C:C)</f>
        <v>0</v>
      </c>
    </row>
    <row r="277" spans="1:15" x14ac:dyDescent="0.25">
      <c r="A277">
        <v>941837000135</v>
      </c>
      <c r="B277" t="s">
        <v>530</v>
      </c>
      <c r="C277">
        <v>2</v>
      </c>
      <c r="E277">
        <v>2014200</v>
      </c>
      <c r="F277" t="s">
        <v>531</v>
      </c>
      <c r="G277" t="s">
        <v>15</v>
      </c>
      <c r="H277">
        <v>76982156</v>
      </c>
      <c r="I277" t="s">
        <v>167</v>
      </c>
      <c r="J277">
        <v>13</v>
      </c>
      <c r="K277" t="s">
        <v>532</v>
      </c>
      <c r="L277" t="str" cm="1">
        <f t="array" ref="L277">IF(SUMPRODUCT(COUNTIF(empresas_filtradas[[#This Row],[cnpj]:[email]],"*"&amp;#REF!&amp;"*"))&gt;0,"sim","não")</f>
        <v>não</v>
      </c>
      <c r="M277" t="s">
        <v>950</v>
      </c>
      <c r="N277" t="str">
        <f>_xlfn.XLOOKUP(empresas_filtradas[[#This Row],[cnpj]], empresas_identificadas_compleme!A:A, empresas_identificadas_compleme!B:B)</f>
        <v>talvez</v>
      </c>
      <c r="O277">
        <f>_xlfn.XLOOKUP(empresas_filtradas[[#This Row],[cnpj]], empresas_identificadas_compleme!A:A, empresas_identificadas_compleme!C:C)</f>
        <v>0</v>
      </c>
    </row>
    <row r="278" spans="1:15" hidden="1" x14ac:dyDescent="0.25">
      <c r="A278" s="1">
        <v>24380578004680</v>
      </c>
      <c r="B278" t="s">
        <v>15</v>
      </c>
      <c r="C278">
        <v>2</v>
      </c>
      <c r="E278">
        <v>2014200</v>
      </c>
      <c r="F278" t="s">
        <v>16</v>
      </c>
      <c r="G278" t="s">
        <v>15</v>
      </c>
      <c r="H278">
        <v>61910000</v>
      </c>
      <c r="I278" t="s">
        <v>108</v>
      </c>
      <c r="J278">
        <v>1585</v>
      </c>
      <c r="K278" t="s">
        <v>33</v>
      </c>
      <c r="L278" t="str" cm="1">
        <f t="array" ref="L278">IF(SUMPRODUCT(COUNTIF(empresas_filtradas[[#This Row],[cnpj]:[email]],"*"&amp;#REF!&amp;"*"))&gt;0,"sim","não")</f>
        <v>não</v>
      </c>
      <c r="M278" t="s">
        <v>727</v>
      </c>
      <c r="N278" t="str">
        <f>_xlfn.XLOOKUP(empresas_filtradas[[#This Row],[cnpj]], empresas_identificadas_compleme!A:A, empresas_identificadas_compleme!B:B)</f>
        <v>talvez</v>
      </c>
      <c r="O278" t="str">
        <f>_xlfn.XLOOKUP(empresas_filtradas[[#This Row],[cnpj]], empresas_identificadas_compleme!A:A, empresas_identificadas_compleme!C:C)</f>
        <v>80km</v>
      </c>
    </row>
    <row r="279" spans="1:15" hidden="1" x14ac:dyDescent="0.25">
      <c r="A279" s="1">
        <v>35820448001299</v>
      </c>
      <c r="B279" t="s">
        <v>15</v>
      </c>
      <c r="C279">
        <v>2</v>
      </c>
      <c r="E279">
        <v>2014200</v>
      </c>
      <c r="F279" t="s">
        <v>533</v>
      </c>
      <c r="G279" t="s">
        <v>534</v>
      </c>
      <c r="H279">
        <v>27933440</v>
      </c>
      <c r="I279" t="s">
        <v>27</v>
      </c>
      <c r="J279">
        <v>5847</v>
      </c>
      <c r="K279" t="s">
        <v>33</v>
      </c>
      <c r="L279" t="str" cm="1">
        <f t="array" ref="L279">IF(SUMPRODUCT(COUNTIF(empresas_filtradas[[#This Row],[cnpj]:[email]],"*"&amp;#REF!&amp;"*"))&gt;0,"sim","não")</f>
        <v>não</v>
      </c>
      <c r="M279" t="s">
        <v>728</v>
      </c>
      <c r="N279" t="str">
        <f>_xlfn.XLOOKUP(empresas_filtradas[[#This Row],[cnpj]], empresas_identificadas_compleme!A:A, empresas_identificadas_compleme!B:B)</f>
        <v>talvez</v>
      </c>
      <c r="O279" t="str">
        <f>_xlfn.XLOOKUP(empresas_filtradas[[#This Row],[cnpj]], empresas_identificadas_compleme!A:A, empresas_identificadas_compleme!C:C)</f>
        <v>CTF_APP e 80km</v>
      </c>
    </row>
    <row r="280" spans="1:15" hidden="1" x14ac:dyDescent="0.25">
      <c r="A280" s="1">
        <v>35820448003666</v>
      </c>
      <c r="B280" t="s">
        <v>15</v>
      </c>
      <c r="C280">
        <v>2</v>
      </c>
      <c r="E280">
        <v>2014200</v>
      </c>
      <c r="F280" t="s">
        <v>535</v>
      </c>
      <c r="G280" t="s">
        <v>15</v>
      </c>
      <c r="H280">
        <v>35160291</v>
      </c>
      <c r="I280" t="s">
        <v>17</v>
      </c>
      <c r="J280">
        <v>4625</v>
      </c>
      <c r="K280" t="s">
        <v>33</v>
      </c>
      <c r="L280" t="str" cm="1">
        <f t="array" ref="L280">IF(SUMPRODUCT(COUNTIF(empresas_filtradas[[#This Row],[cnpj]:[email]],"*"&amp;#REF!&amp;"*"))&gt;0,"sim","não")</f>
        <v>não</v>
      </c>
      <c r="M280" t="s">
        <v>728</v>
      </c>
      <c r="N280" t="str">
        <f>_xlfn.XLOOKUP(empresas_filtradas[[#This Row],[cnpj]], empresas_identificadas_compleme!A:A, empresas_identificadas_compleme!B:B)</f>
        <v>talvez</v>
      </c>
      <c r="O280" t="str">
        <f>_xlfn.XLOOKUP(empresas_filtradas[[#This Row],[cnpj]], empresas_identificadas_compleme!A:A, empresas_identificadas_compleme!C:C)</f>
        <v>CTF_APP e 80km</v>
      </c>
    </row>
    <row r="281" spans="1:15" hidden="1" x14ac:dyDescent="0.25">
      <c r="A281" s="1">
        <v>35820448008110</v>
      </c>
      <c r="B281" t="s">
        <v>15</v>
      </c>
      <c r="C281">
        <v>2</v>
      </c>
      <c r="E281">
        <v>2014200</v>
      </c>
      <c r="F281" t="s">
        <v>536</v>
      </c>
      <c r="G281" t="s">
        <v>15</v>
      </c>
      <c r="H281">
        <v>9961350</v>
      </c>
      <c r="I281" t="s">
        <v>32</v>
      </c>
      <c r="J281">
        <v>6377</v>
      </c>
      <c r="K281" t="s">
        <v>33</v>
      </c>
      <c r="L281" t="str" cm="1">
        <f t="array" ref="L281">IF(SUMPRODUCT(COUNTIF(empresas_filtradas[[#This Row],[cnpj]:[email]],"*"&amp;#REF!&amp;"*"))&gt;0,"sim","não")</f>
        <v>não</v>
      </c>
      <c r="M281" t="s">
        <v>728</v>
      </c>
      <c r="N281" t="str">
        <f>_xlfn.XLOOKUP(empresas_filtradas[[#This Row],[cnpj]], empresas_identificadas_compleme!A:A, empresas_identificadas_compleme!B:B)</f>
        <v>talvez</v>
      </c>
      <c r="O281" t="str">
        <f>_xlfn.XLOOKUP(empresas_filtradas[[#This Row],[cnpj]], empresas_identificadas_compleme!A:A, empresas_identificadas_compleme!C:C)</f>
        <v>CTF_APP e 80km</v>
      </c>
    </row>
    <row r="282" spans="1:15" hidden="1" x14ac:dyDescent="0.25">
      <c r="A282">
        <v>60619202001110</v>
      </c>
      <c r="B282" t="s">
        <v>15</v>
      </c>
      <c r="C282">
        <v>2</v>
      </c>
      <c r="E282">
        <v>2014200</v>
      </c>
      <c r="F282" t="s">
        <v>537</v>
      </c>
      <c r="G282" t="s">
        <v>15</v>
      </c>
      <c r="H282">
        <v>21040360</v>
      </c>
      <c r="I282" t="s">
        <v>27</v>
      </c>
      <c r="J282">
        <v>6001</v>
      </c>
      <c r="K282" t="s">
        <v>24</v>
      </c>
      <c r="L282" t="str" cm="1">
        <f t="array" ref="L282">IF(SUMPRODUCT(COUNTIF(empresas_filtradas[[#This Row],[cnpj]:[email]],"*"&amp;#REF!&amp;"*"))&gt;0,"sim","não")</f>
        <v>não</v>
      </c>
      <c r="M282" t="s">
        <v>727</v>
      </c>
      <c r="N282" t="str">
        <f>_xlfn.XLOOKUP(empresas_filtradas[[#This Row],[cnpj]], empresas_identificadas_compleme!A:A, empresas_identificadas_compleme!B:B)</f>
        <v>talvez</v>
      </c>
      <c r="O282" t="str">
        <f>_xlfn.XLOOKUP(empresas_filtradas[[#This Row],[cnpj]], empresas_identificadas_compleme!A:A, empresas_identificadas_compleme!C:C)</f>
        <v>80km</v>
      </c>
    </row>
    <row r="283" spans="1:15" hidden="1" x14ac:dyDescent="0.25">
      <c r="A283">
        <v>60619202003325</v>
      </c>
      <c r="B283" t="s">
        <v>21</v>
      </c>
      <c r="C283">
        <v>2</v>
      </c>
      <c r="E283">
        <v>2014200</v>
      </c>
      <c r="F283" t="s">
        <v>319</v>
      </c>
      <c r="G283" t="s">
        <v>538</v>
      </c>
      <c r="H283">
        <v>29168066</v>
      </c>
      <c r="I283" t="s">
        <v>49</v>
      </c>
      <c r="J283">
        <v>5699</v>
      </c>
      <c r="K283" t="s">
        <v>24</v>
      </c>
      <c r="L283" t="str" cm="1">
        <f t="array" ref="L283">IF(SUMPRODUCT(COUNTIF(empresas_filtradas[[#This Row],[cnpj]:[email]],"*"&amp;#REF!&amp;"*"))&gt;0,"sim","não")</f>
        <v>não</v>
      </c>
      <c r="M283" t="s">
        <v>728</v>
      </c>
      <c r="N283" t="str">
        <f>_xlfn.XLOOKUP(empresas_filtradas[[#This Row],[cnpj]], empresas_identificadas_compleme!A:A, empresas_identificadas_compleme!B:B)</f>
        <v>talvez</v>
      </c>
      <c r="O283" t="str">
        <f>_xlfn.XLOOKUP(empresas_filtradas[[#This Row],[cnpj]], empresas_identificadas_compleme!A:A, empresas_identificadas_compleme!C:C)</f>
        <v>CTF_APP e 80km</v>
      </c>
    </row>
    <row r="284" spans="1:15" hidden="1" x14ac:dyDescent="0.25">
      <c r="A284" s="1">
        <v>35820448001965</v>
      </c>
      <c r="B284" t="s">
        <v>15</v>
      </c>
      <c r="C284">
        <v>2</v>
      </c>
      <c r="E284">
        <v>2014200</v>
      </c>
      <c r="F284" t="s">
        <v>539</v>
      </c>
      <c r="G284" t="s">
        <v>15</v>
      </c>
      <c r="H284">
        <v>29146797</v>
      </c>
      <c r="I284" t="s">
        <v>49</v>
      </c>
      <c r="J284">
        <v>5625</v>
      </c>
      <c r="K284" t="s">
        <v>33</v>
      </c>
      <c r="L284" t="str" cm="1">
        <f t="array" ref="L284">IF(SUMPRODUCT(COUNTIF(empresas_filtradas[[#This Row],[cnpj]:[email]],"*"&amp;#REF!&amp;"*"))&gt;0,"sim","não")</f>
        <v>não</v>
      </c>
      <c r="M284" t="s">
        <v>728</v>
      </c>
      <c r="N284" t="str">
        <f>_xlfn.XLOOKUP(empresas_filtradas[[#This Row],[cnpj]], empresas_identificadas_compleme!A:A, empresas_identificadas_compleme!B:B)</f>
        <v>talvez</v>
      </c>
      <c r="O284" t="str">
        <f>_xlfn.XLOOKUP(empresas_filtradas[[#This Row],[cnpj]], empresas_identificadas_compleme!A:A, empresas_identificadas_compleme!C:C)</f>
        <v>CTF_APP e 80km</v>
      </c>
    </row>
    <row r="285" spans="1:15" hidden="1" x14ac:dyDescent="0.25">
      <c r="A285">
        <v>331788002243</v>
      </c>
      <c r="B285" t="s">
        <v>15</v>
      </c>
      <c r="C285">
        <v>2</v>
      </c>
      <c r="E285">
        <v>2014200</v>
      </c>
      <c r="F285" t="s">
        <v>540</v>
      </c>
      <c r="G285" t="s">
        <v>15</v>
      </c>
      <c r="H285">
        <v>12226311</v>
      </c>
      <c r="I285" t="s">
        <v>32</v>
      </c>
      <c r="J285">
        <v>7099</v>
      </c>
      <c r="K285" t="s">
        <v>28</v>
      </c>
      <c r="L285" t="str" cm="1">
        <f t="array" ref="L285">IF(SUMPRODUCT(COUNTIF(empresas_filtradas[[#This Row],[cnpj]:[email]],"*"&amp;#REF!&amp;"*"))&gt;0,"sim","não")</f>
        <v>não</v>
      </c>
      <c r="M285" t="s">
        <v>728</v>
      </c>
      <c r="N285" t="str">
        <f>_xlfn.XLOOKUP(empresas_filtradas[[#This Row],[cnpj]], empresas_identificadas_compleme!A:A, empresas_identificadas_compleme!B:B)</f>
        <v>talvez</v>
      </c>
      <c r="O285" t="str">
        <f>_xlfn.XLOOKUP(empresas_filtradas[[#This Row],[cnpj]], empresas_identificadas_compleme!A:A, empresas_identificadas_compleme!C:C)</f>
        <v>CTF_APP e 80km</v>
      </c>
    </row>
    <row r="286" spans="1:15" hidden="1" x14ac:dyDescent="0.25">
      <c r="A286" s="1">
        <v>24380578004761</v>
      </c>
      <c r="B286" t="s">
        <v>15</v>
      </c>
      <c r="C286">
        <v>2</v>
      </c>
      <c r="E286">
        <v>2014200</v>
      </c>
      <c r="F286" t="s">
        <v>541</v>
      </c>
      <c r="G286" t="s">
        <v>15</v>
      </c>
      <c r="H286">
        <v>50950000</v>
      </c>
      <c r="I286" t="s">
        <v>92</v>
      </c>
      <c r="J286">
        <v>2531</v>
      </c>
      <c r="K286" t="s">
        <v>33</v>
      </c>
      <c r="L286" t="str" cm="1">
        <f t="array" ref="L286">IF(SUMPRODUCT(COUNTIF(empresas_filtradas[[#This Row],[cnpj]:[email]],"*"&amp;#REF!&amp;"*"))&gt;0,"sim","não")</f>
        <v>não</v>
      </c>
      <c r="M286" t="s">
        <v>728</v>
      </c>
      <c r="N286" t="str">
        <f>_xlfn.XLOOKUP(empresas_filtradas[[#This Row],[cnpj]], empresas_identificadas_compleme!A:A, empresas_identificadas_compleme!B:B)</f>
        <v>talvez</v>
      </c>
      <c r="O286" t="str">
        <f>_xlfn.XLOOKUP(empresas_filtradas[[#This Row],[cnpj]], empresas_identificadas_compleme!A:A, empresas_identificadas_compleme!C:C)</f>
        <v>CTF_APP e 80km</v>
      </c>
    </row>
    <row r="287" spans="1:15" hidden="1" x14ac:dyDescent="0.25">
      <c r="A287">
        <v>67423152000682</v>
      </c>
      <c r="B287" t="s">
        <v>15</v>
      </c>
      <c r="C287">
        <v>2</v>
      </c>
      <c r="E287">
        <v>2014200</v>
      </c>
      <c r="F287" t="s">
        <v>498</v>
      </c>
      <c r="G287" t="s">
        <v>15</v>
      </c>
      <c r="H287">
        <v>21040114</v>
      </c>
      <c r="I287" t="s">
        <v>27</v>
      </c>
      <c r="J287">
        <v>6001</v>
      </c>
      <c r="K287" t="s">
        <v>542</v>
      </c>
      <c r="L287" t="str" cm="1">
        <f t="array" ref="L287">IF(SUMPRODUCT(COUNTIF(empresas_filtradas[[#This Row],[cnpj]:[email]],"*"&amp;#REF!&amp;"*"))&gt;0,"sim","não")</f>
        <v>não</v>
      </c>
      <c r="M287" t="s">
        <v>951</v>
      </c>
      <c r="N287" t="str">
        <f>_xlfn.XLOOKUP(empresas_filtradas[[#This Row],[cnpj]], empresas_identificadas_compleme!A:A, empresas_identificadas_compleme!B:B)</f>
        <v>talvez</v>
      </c>
      <c r="O287" t="str">
        <f>_xlfn.XLOOKUP(empresas_filtradas[[#This Row],[cnpj]], empresas_identificadas_compleme!A:A, empresas_identificadas_compleme!C:C)</f>
        <v>CTF_APP e 80km</v>
      </c>
    </row>
    <row r="288" spans="1:15" hidden="1" x14ac:dyDescent="0.25">
      <c r="A288" s="1">
        <v>24380578003951</v>
      </c>
      <c r="B288" t="s">
        <v>15</v>
      </c>
      <c r="C288">
        <v>2</v>
      </c>
      <c r="E288">
        <v>2014200</v>
      </c>
      <c r="F288" t="s">
        <v>16</v>
      </c>
      <c r="G288" t="s">
        <v>543</v>
      </c>
      <c r="H288">
        <v>57160000</v>
      </c>
      <c r="I288" t="s">
        <v>19</v>
      </c>
      <c r="J288">
        <v>2793</v>
      </c>
      <c r="K288" t="s">
        <v>33</v>
      </c>
      <c r="L288" t="str" cm="1">
        <f t="array" ref="L288">IF(SUMPRODUCT(COUNTIF(empresas_filtradas[[#This Row],[cnpj]:[email]],"*"&amp;#REF!&amp;"*"))&gt;0,"sim","não")</f>
        <v>não</v>
      </c>
      <c r="M288" t="s">
        <v>728</v>
      </c>
      <c r="N288" t="str">
        <f>_xlfn.XLOOKUP(empresas_filtradas[[#This Row],[cnpj]], empresas_identificadas_compleme!A:A, empresas_identificadas_compleme!B:B)</f>
        <v>talvez</v>
      </c>
      <c r="O288" t="str">
        <f>_xlfn.XLOOKUP(empresas_filtradas[[#This Row],[cnpj]], empresas_identificadas_compleme!A:A, empresas_identificadas_compleme!C:C)</f>
        <v>CTF_APP e 80km</v>
      </c>
    </row>
    <row r="289" spans="1:15" hidden="1" x14ac:dyDescent="0.25">
      <c r="A289">
        <v>43843358000199</v>
      </c>
      <c r="B289" t="s">
        <v>15</v>
      </c>
      <c r="C289">
        <v>2</v>
      </c>
      <c r="E289">
        <v>2014200</v>
      </c>
      <c r="F289" t="s">
        <v>544</v>
      </c>
      <c r="G289" t="s">
        <v>545</v>
      </c>
      <c r="H289">
        <v>5001903</v>
      </c>
      <c r="I289" t="s">
        <v>32</v>
      </c>
      <c r="J289">
        <v>7107</v>
      </c>
      <c r="K289" t="s">
        <v>37</v>
      </c>
      <c r="L289" t="str" cm="1">
        <f t="array" ref="L289">IF(SUMPRODUCT(COUNTIF(empresas_filtradas[[#This Row],[cnpj]:[email]],"*"&amp;#REF!&amp;"*"))&gt;0,"sim","não")</f>
        <v>não</v>
      </c>
      <c r="M289" t="s">
        <v>727</v>
      </c>
      <c r="N289" t="str">
        <f>_xlfn.XLOOKUP(empresas_filtradas[[#This Row],[cnpj]], empresas_identificadas_compleme!A:A, empresas_identificadas_compleme!B:B)</f>
        <v>talvez</v>
      </c>
      <c r="O289" t="str">
        <f>_xlfn.XLOOKUP(empresas_filtradas[[#This Row],[cnpj]], empresas_identificadas_compleme!A:A, empresas_identificadas_compleme!C:C)</f>
        <v>80km</v>
      </c>
    </row>
    <row r="290" spans="1:15" x14ac:dyDescent="0.25">
      <c r="A290">
        <v>7654168000160</v>
      </c>
      <c r="B290" t="s">
        <v>546</v>
      </c>
      <c r="C290">
        <v>2</v>
      </c>
      <c r="E290">
        <v>2014200</v>
      </c>
      <c r="F290" t="s">
        <v>196</v>
      </c>
      <c r="G290" t="s">
        <v>547</v>
      </c>
      <c r="H290">
        <v>77060840</v>
      </c>
      <c r="I290" t="s">
        <v>548</v>
      </c>
      <c r="J290">
        <v>9733</v>
      </c>
      <c r="K290" t="s">
        <v>549</v>
      </c>
      <c r="L290" t="str" cm="1">
        <f t="array" ref="L290">IF(SUMPRODUCT(COUNTIF(empresas_filtradas[[#This Row],[cnpj]:[email]],"*"&amp;#REF!&amp;"*"))&gt;0,"sim","não")</f>
        <v>não</v>
      </c>
      <c r="M290" t="s">
        <v>950</v>
      </c>
      <c r="N290" t="str">
        <f>_xlfn.XLOOKUP(empresas_filtradas[[#This Row],[cnpj]], empresas_identificadas_compleme!A:A, empresas_identificadas_compleme!B:B)</f>
        <v>talvez</v>
      </c>
      <c r="O290">
        <f>_xlfn.XLOOKUP(empresas_filtradas[[#This Row],[cnpj]], empresas_identificadas_compleme!A:A, empresas_identificadas_compleme!C:C)</f>
        <v>0</v>
      </c>
    </row>
    <row r="291" spans="1:15" hidden="1" x14ac:dyDescent="0.25">
      <c r="A291">
        <v>60619202003406</v>
      </c>
      <c r="B291" t="s">
        <v>21</v>
      </c>
      <c r="C291">
        <v>2</v>
      </c>
      <c r="E291">
        <v>2014200</v>
      </c>
      <c r="F291" t="s">
        <v>550</v>
      </c>
      <c r="G291" t="s">
        <v>15</v>
      </c>
      <c r="H291">
        <v>21515000</v>
      </c>
      <c r="I291" t="s">
        <v>27</v>
      </c>
      <c r="J291">
        <v>6001</v>
      </c>
      <c r="K291" t="s">
        <v>24</v>
      </c>
      <c r="L291" t="str" cm="1">
        <f t="array" ref="L291">IF(SUMPRODUCT(COUNTIF(empresas_filtradas[[#This Row],[cnpj]:[email]],"*"&amp;#REF!&amp;"*"))&gt;0,"sim","não")</f>
        <v>não</v>
      </c>
      <c r="M291" t="s">
        <v>728</v>
      </c>
      <c r="N291" t="str">
        <f>_xlfn.XLOOKUP(empresas_filtradas[[#This Row],[cnpj]], empresas_identificadas_compleme!A:A, empresas_identificadas_compleme!B:B)</f>
        <v>talvez</v>
      </c>
      <c r="O291" t="str">
        <f>_xlfn.XLOOKUP(empresas_filtradas[[#This Row],[cnpj]], empresas_identificadas_compleme!A:A, empresas_identificadas_compleme!C:C)</f>
        <v>CTF_APP e 80km</v>
      </c>
    </row>
    <row r="292" spans="1:15" hidden="1" x14ac:dyDescent="0.25">
      <c r="A292" s="1">
        <v>8763149000134</v>
      </c>
      <c r="B292" t="s">
        <v>15</v>
      </c>
      <c r="C292">
        <v>2</v>
      </c>
      <c r="E292">
        <v>2014200</v>
      </c>
      <c r="F292" t="s">
        <v>16</v>
      </c>
      <c r="G292" t="s">
        <v>156</v>
      </c>
      <c r="H292">
        <v>23570000</v>
      </c>
      <c r="I292" t="s">
        <v>27</v>
      </c>
      <c r="J292">
        <v>6001</v>
      </c>
      <c r="K292" t="s">
        <v>33</v>
      </c>
      <c r="L292" t="str" cm="1">
        <f t="array" ref="L292">IF(SUMPRODUCT(COUNTIF(empresas_filtradas[[#This Row],[cnpj]:[email]],"*"&amp;#REF!&amp;"*"))&gt;0,"sim","não")</f>
        <v>não</v>
      </c>
      <c r="M292" t="s">
        <v>727</v>
      </c>
      <c r="N292" t="str">
        <f>_xlfn.XLOOKUP(empresas_filtradas[[#This Row],[cnpj]], empresas_identificadas_compleme!A:A, empresas_identificadas_compleme!B:B)</f>
        <v>talvez</v>
      </c>
      <c r="O292" t="str">
        <f>_xlfn.XLOOKUP(empresas_filtradas[[#This Row],[cnpj]], empresas_identificadas_compleme!A:A, empresas_identificadas_compleme!C:C)</f>
        <v>80km</v>
      </c>
    </row>
    <row r="293" spans="1:15" hidden="1" x14ac:dyDescent="0.25">
      <c r="A293">
        <v>60619202002353</v>
      </c>
      <c r="B293" t="s">
        <v>21</v>
      </c>
      <c r="C293">
        <v>2</v>
      </c>
      <c r="E293">
        <v>2014200</v>
      </c>
      <c r="F293" t="s">
        <v>551</v>
      </c>
      <c r="G293" t="s">
        <v>156</v>
      </c>
      <c r="H293">
        <v>27313191</v>
      </c>
      <c r="I293" t="s">
        <v>27</v>
      </c>
      <c r="J293">
        <v>5807</v>
      </c>
      <c r="K293" t="s">
        <v>24</v>
      </c>
      <c r="L293" t="str" cm="1">
        <f t="array" ref="L293">IF(SUMPRODUCT(COUNTIF(empresas_filtradas[[#This Row],[cnpj]:[email]],"*"&amp;#REF!&amp;"*"))&gt;0,"sim","não")</f>
        <v>não</v>
      </c>
      <c r="M293" t="s">
        <v>728</v>
      </c>
      <c r="N293" t="str">
        <f>_xlfn.XLOOKUP(empresas_filtradas[[#This Row],[cnpj]], empresas_identificadas_compleme!A:A, empresas_identificadas_compleme!B:B)</f>
        <v>talvez</v>
      </c>
      <c r="O293" t="str">
        <f>_xlfn.XLOOKUP(empresas_filtradas[[#This Row],[cnpj]], empresas_identificadas_compleme!A:A, empresas_identificadas_compleme!C:C)</f>
        <v>CTF_APP e 80km</v>
      </c>
    </row>
    <row r="294" spans="1:15" hidden="1" x14ac:dyDescent="0.25">
      <c r="A294" s="1">
        <v>24380578005733</v>
      </c>
      <c r="B294" t="s">
        <v>15</v>
      </c>
      <c r="C294">
        <v>2</v>
      </c>
      <c r="E294">
        <v>2014200</v>
      </c>
      <c r="F294" t="s">
        <v>16</v>
      </c>
      <c r="G294" t="s">
        <v>552</v>
      </c>
      <c r="H294">
        <v>68390000</v>
      </c>
      <c r="I294" t="s">
        <v>78</v>
      </c>
      <c r="J294">
        <v>591</v>
      </c>
      <c r="K294" t="s">
        <v>33</v>
      </c>
      <c r="L294" t="str" cm="1">
        <f t="array" ref="L294">IF(SUMPRODUCT(COUNTIF(empresas_filtradas[[#This Row],[cnpj]:[email]],"*"&amp;#REF!&amp;"*"))&gt;0,"sim","não")</f>
        <v>não</v>
      </c>
      <c r="M294" t="s">
        <v>727</v>
      </c>
      <c r="N294" t="str">
        <f>_xlfn.XLOOKUP(empresas_filtradas[[#This Row],[cnpj]], empresas_identificadas_compleme!A:A, empresas_identificadas_compleme!B:B)</f>
        <v>talvez</v>
      </c>
      <c r="O294" t="str">
        <f>_xlfn.XLOOKUP(empresas_filtradas[[#This Row],[cnpj]], empresas_identificadas_compleme!A:A, empresas_identificadas_compleme!C:C)</f>
        <v>CTF_APP</v>
      </c>
    </row>
    <row r="295" spans="1:15" hidden="1" x14ac:dyDescent="0.25">
      <c r="A295" s="1">
        <v>35820448019155</v>
      </c>
      <c r="B295" t="s">
        <v>15</v>
      </c>
      <c r="C295">
        <v>2</v>
      </c>
      <c r="E295">
        <v>2014200</v>
      </c>
      <c r="F295" t="s">
        <v>16</v>
      </c>
      <c r="G295" t="s">
        <v>156</v>
      </c>
      <c r="H295">
        <v>23570000</v>
      </c>
      <c r="I295" t="s">
        <v>27</v>
      </c>
      <c r="J295">
        <v>6001</v>
      </c>
      <c r="K295" t="s">
        <v>33</v>
      </c>
      <c r="L295" t="str" cm="1">
        <f t="array" ref="L295">IF(SUMPRODUCT(COUNTIF(empresas_filtradas[[#This Row],[cnpj]:[email]],"*"&amp;#REF!&amp;"*"))&gt;0,"sim","não")</f>
        <v>não</v>
      </c>
      <c r="M295" t="s">
        <v>727</v>
      </c>
      <c r="N295" t="str">
        <f>_xlfn.XLOOKUP(empresas_filtradas[[#This Row],[cnpj]], empresas_identificadas_compleme!A:A, empresas_identificadas_compleme!B:B)</f>
        <v>talvez</v>
      </c>
      <c r="O295" t="str">
        <f>_xlfn.XLOOKUP(empresas_filtradas[[#This Row],[cnpj]], empresas_identificadas_compleme!A:A, empresas_identificadas_compleme!C:C)</f>
        <v>80km</v>
      </c>
    </row>
    <row r="296" spans="1:15" hidden="1" x14ac:dyDescent="0.25">
      <c r="A296" s="1">
        <v>22298504000172</v>
      </c>
      <c r="B296" t="s">
        <v>553</v>
      </c>
      <c r="C296">
        <v>2</v>
      </c>
      <c r="E296">
        <v>2014200</v>
      </c>
      <c r="F296" t="s">
        <v>554</v>
      </c>
      <c r="G296" t="s">
        <v>555</v>
      </c>
      <c r="H296">
        <v>69019400</v>
      </c>
      <c r="I296" t="s">
        <v>114</v>
      </c>
      <c r="J296">
        <v>255</v>
      </c>
      <c r="K296" t="s">
        <v>556</v>
      </c>
      <c r="L296" t="str" cm="1">
        <f t="array" ref="L296">IF(SUMPRODUCT(COUNTIF(empresas_filtradas[[#This Row],[cnpj]:[email]],"*"&amp;#REF!&amp;"*"))&gt;0,"sim","não")</f>
        <v>não</v>
      </c>
      <c r="M296" t="s">
        <v>951</v>
      </c>
      <c r="N296" t="str">
        <f>_xlfn.XLOOKUP(empresas_filtradas[[#This Row],[cnpj]], empresas_identificadas_compleme!A:A, empresas_identificadas_compleme!B:B)</f>
        <v>talvez</v>
      </c>
      <c r="O296" t="str">
        <f>_xlfn.XLOOKUP(empresas_filtradas[[#This Row],[cnpj]], empresas_identificadas_compleme!A:A, empresas_identificadas_compleme!C:C)</f>
        <v>CTF_APP</v>
      </c>
    </row>
    <row r="297" spans="1:15" hidden="1" x14ac:dyDescent="0.25">
      <c r="A297">
        <v>14444932000138</v>
      </c>
      <c r="B297" t="s">
        <v>557</v>
      </c>
      <c r="C297">
        <v>2</v>
      </c>
      <c r="E297">
        <v>2014200</v>
      </c>
      <c r="F297" t="s">
        <v>558</v>
      </c>
      <c r="G297" t="s">
        <v>15</v>
      </c>
      <c r="H297">
        <v>12072340</v>
      </c>
      <c r="I297" t="s">
        <v>32</v>
      </c>
      <c r="J297">
        <v>7183</v>
      </c>
      <c r="K297" t="s">
        <v>559</v>
      </c>
      <c r="L297" t="str" cm="1">
        <f t="array" ref="L297">IF(SUMPRODUCT(COUNTIF(empresas_filtradas[[#This Row],[cnpj]:[email]],"*"&amp;#REF!&amp;"*"))&gt;0,"sim","não")</f>
        <v>não</v>
      </c>
      <c r="M297" t="s">
        <v>951</v>
      </c>
      <c r="N297" t="str">
        <f>_xlfn.XLOOKUP(empresas_filtradas[[#This Row],[cnpj]], empresas_identificadas_compleme!A:A, empresas_identificadas_compleme!B:B)</f>
        <v>talvez</v>
      </c>
      <c r="O297" t="str">
        <f>_xlfn.XLOOKUP(empresas_filtradas[[#This Row],[cnpj]], empresas_identificadas_compleme!A:A, empresas_identificadas_compleme!C:C)</f>
        <v>CTF_APP e 80km</v>
      </c>
    </row>
    <row r="298" spans="1:15" x14ac:dyDescent="0.25">
      <c r="A298" s="1">
        <v>18487144000180</v>
      </c>
      <c r="B298" t="s">
        <v>560</v>
      </c>
      <c r="C298">
        <v>2</v>
      </c>
      <c r="E298">
        <v>2014200</v>
      </c>
      <c r="F298" t="s">
        <v>561</v>
      </c>
      <c r="G298" t="s">
        <v>91</v>
      </c>
      <c r="H298">
        <v>88311528</v>
      </c>
      <c r="I298" t="s">
        <v>65</v>
      </c>
      <c r="J298">
        <v>8161</v>
      </c>
      <c r="K298" t="s">
        <v>562</v>
      </c>
      <c r="L298" t="str" cm="1">
        <f t="array" ref="L298">IF(SUMPRODUCT(COUNTIF(empresas_filtradas[[#This Row],[cnpj]:[email]],"*"&amp;#REF!&amp;"*"))&gt;0,"sim","não")</f>
        <v>não</v>
      </c>
      <c r="M298" t="s">
        <v>950</v>
      </c>
      <c r="N298" t="str">
        <f>_xlfn.XLOOKUP(empresas_filtradas[[#This Row],[cnpj]], empresas_identificadas_compleme!A:A, empresas_identificadas_compleme!B:B)</f>
        <v>talvez</v>
      </c>
      <c r="O298" t="str">
        <f>_xlfn.XLOOKUP(empresas_filtradas[[#This Row],[cnpj]], empresas_identificadas_compleme!A:A, empresas_identificadas_compleme!C:C)</f>
        <v>CTF_APP</v>
      </c>
    </row>
    <row r="299" spans="1:15" hidden="1" x14ac:dyDescent="0.25">
      <c r="A299">
        <v>43843358003619</v>
      </c>
      <c r="B299" t="s">
        <v>15</v>
      </c>
      <c r="C299">
        <v>2</v>
      </c>
      <c r="E299">
        <v>2014200</v>
      </c>
      <c r="F299" t="s">
        <v>563</v>
      </c>
      <c r="G299" t="s">
        <v>15</v>
      </c>
      <c r="H299">
        <v>12521000</v>
      </c>
      <c r="I299" t="s">
        <v>32</v>
      </c>
      <c r="J299">
        <v>6469</v>
      </c>
      <c r="K299" t="s">
        <v>37</v>
      </c>
      <c r="L299" t="str" cm="1">
        <f t="array" ref="L299">IF(SUMPRODUCT(COUNTIF(empresas_filtradas[[#This Row],[cnpj]:[email]],"*"&amp;#REF!&amp;"*"))&gt;0,"sim","não")</f>
        <v>não</v>
      </c>
      <c r="M299" t="s">
        <v>726</v>
      </c>
      <c r="N299" t="str">
        <f>_xlfn.XLOOKUP(empresas_filtradas[[#This Row],[cnpj]], empresas_identificadas_compleme!A:A, empresas_identificadas_compleme!B:B)</f>
        <v>talvez</v>
      </c>
      <c r="O299" t="str">
        <f>_xlfn.XLOOKUP(empresas_filtradas[[#This Row],[cnpj]], empresas_identificadas_compleme!A:A, empresas_identificadas_compleme!C:C)</f>
        <v>CTF_APP</v>
      </c>
    </row>
    <row r="300" spans="1:15" x14ac:dyDescent="0.25">
      <c r="A300">
        <v>29171025000130</v>
      </c>
      <c r="B300" t="s">
        <v>564</v>
      </c>
      <c r="C300">
        <v>2</v>
      </c>
      <c r="E300">
        <v>2014200</v>
      </c>
      <c r="F300" t="s">
        <v>565</v>
      </c>
      <c r="G300" t="s">
        <v>15</v>
      </c>
      <c r="H300">
        <v>69043210</v>
      </c>
      <c r="I300" t="s">
        <v>114</v>
      </c>
      <c r="J300">
        <v>255</v>
      </c>
      <c r="K300" t="s">
        <v>566</v>
      </c>
      <c r="L300" t="str" cm="1">
        <f t="array" ref="L300">IF(SUMPRODUCT(COUNTIF(empresas_filtradas[[#This Row],[cnpj]:[email]],"*"&amp;#REF!&amp;"*"))&gt;0,"sim","não")</f>
        <v>não</v>
      </c>
      <c r="M300" t="s">
        <v>950</v>
      </c>
      <c r="N300" t="str">
        <f>_xlfn.XLOOKUP(empresas_filtradas[[#This Row],[cnpj]], empresas_identificadas_compleme!A:A, empresas_identificadas_compleme!B:B)</f>
        <v>talvez</v>
      </c>
      <c r="O300">
        <f>_xlfn.XLOOKUP(empresas_filtradas[[#This Row],[cnpj]], empresas_identificadas_compleme!A:A, empresas_identificadas_compleme!C:C)</f>
        <v>0</v>
      </c>
    </row>
    <row r="301" spans="1:15" hidden="1" x14ac:dyDescent="0.25">
      <c r="A301">
        <v>331788009337</v>
      </c>
      <c r="B301" t="s">
        <v>15</v>
      </c>
      <c r="C301">
        <v>2</v>
      </c>
      <c r="E301">
        <v>2014200</v>
      </c>
      <c r="F301" t="s">
        <v>567</v>
      </c>
      <c r="G301" t="s">
        <v>15</v>
      </c>
      <c r="H301">
        <v>38402810</v>
      </c>
      <c r="I301" t="s">
        <v>17</v>
      </c>
      <c r="J301">
        <v>5403</v>
      </c>
      <c r="K301" t="s">
        <v>28</v>
      </c>
      <c r="L301" t="str" cm="1">
        <f t="array" ref="L301">IF(SUMPRODUCT(COUNTIF(empresas_filtradas[[#This Row],[cnpj]:[email]],"*"&amp;#REF!&amp;"*"))&gt;0,"sim","não")</f>
        <v>não</v>
      </c>
      <c r="M301" t="s">
        <v>727</v>
      </c>
      <c r="N301" t="str">
        <f>_xlfn.XLOOKUP(empresas_filtradas[[#This Row],[cnpj]], empresas_identificadas_compleme!A:A, empresas_identificadas_compleme!B:B)</f>
        <v>talvez</v>
      </c>
      <c r="O301">
        <f>_xlfn.XLOOKUP(empresas_filtradas[[#This Row],[cnpj]], empresas_identificadas_compleme!A:A, empresas_identificadas_compleme!C:C)</f>
        <v>0</v>
      </c>
    </row>
    <row r="302" spans="1:15" x14ac:dyDescent="0.25">
      <c r="A302">
        <v>34758163000150</v>
      </c>
      <c r="B302" t="s">
        <v>568</v>
      </c>
      <c r="C302">
        <v>2</v>
      </c>
      <c r="E302">
        <v>2014200</v>
      </c>
      <c r="F302" t="s">
        <v>569</v>
      </c>
      <c r="G302" t="s">
        <v>570</v>
      </c>
      <c r="H302">
        <v>24868352</v>
      </c>
      <c r="I302" t="s">
        <v>27</v>
      </c>
      <c r="J302">
        <v>5837</v>
      </c>
      <c r="K302" t="s">
        <v>571</v>
      </c>
      <c r="L302" t="str" cm="1">
        <f t="array" ref="L302">IF(SUMPRODUCT(COUNTIF(empresas_filtradas[[#This Row],[cnpj]:[email]],"*"&amp;#REF!&amp;"*"))&gt;0,"sim","não")</f>
        <v>não</v>
      </c>
      <c r="M302" t="s">
        <v>950</v>
      </c>
      <c r="N302" t="str">
        <f>_xlfn.XLOOKUP(empresas_filtradas[[#This Row],[cnpj]], empresas_identificadas_compleme!A:A, empresas_identificadas_compleme!B:B)</f>
        <v>incerto</v>
      </c>
      <c r="O302" t="str">
        <f>_xlfn.XLOOKUP(empresas_filtradas[[#This Row],[cnpj]], empresas_identificadas_compleme!A:A, empresas_identificadas_compleme!C:C)</f>
        <v>80km</v>
      </c>
    </row>
    <row r="303" spans="1:15" hidden="1" x14ac:dyDescent="0.25">
      <c r="A303">
        <v>35694639000107</v>
      </c>
      <c r="B303" t="s">
        <v>572</v>
      </c>
      <c r="C303">
        <v>2</v>
      </c>
      <c r="E303">
        <v>2014200</v>
      </c>
      <c r="F303" t="s">
        <v>16</v>
      </c>
      <c r="G303" t="s">
        <v>573</v>
      </c>
      <c r="H303">
        <v>78099899</v>
      </c>
      <c r="I303" t="s">
        <v>23</v>
      </c>
      <c r="J303">
        <v>9067</v>
      </c>
      <c r="K303" t="s">
        <v>574</v>
      </c>
      <c r="L303" t="str" cm="1">
        <f t="array" ref="L303">IF(SUMPRODUCT(COUNTIF(empresas_filtradas[[#This Row],[cnpj]:[email]],"*"&amp;#REF!&amp;"*"))&gt;0,"sim","não")</f>
        <v>não</v>
      </c>
      <c r="M303" t="s">
        <v>951</v>
      </c>
      <c r="N303" t="str">
        <f>_xlfn.XLOOKUP(empresas_filtradas[[#This Row],[cnpj]], empresas_identificadas_compleme!A:A, empresas_identificadas_compleme!B:B)</f>
        <v>incerto</v>
      </c>
      <c r="O303">
        <f>_xlfn.XLOOKUP(empresas_filtradas[[#This Row],[cnpj]], empresas_identificadas_compleme!A:A, empresas_identificadas_compleme!C:C)</f>
        <v>0</v>
      </c>
    </row>
    <row r="304" spans="1:15" x14ac:dyDescent="0.25">
      <c r="A304" s="1">
        <v>39505049000131</v>
      </c>
      <c r="B304" t="s">
        <v>575</v>
      </c>
      <c r="C304">
        <v>2</v>
      </c>
      <c r="E304">
        <v>2014200</v>
      </c>
      <c r="F304" t="s">
        <v>196</v>
      </c>
      <c r="G304" t="s">
        <v>576</v>
      </c>
      <c r="H304">
        <v>77823762</v>
      </c>
      <c r="I304" t="s">
        <v>548</v>
      </c>
      <c r="J304">
        <v>9241</v>
      </c>
      <c r="K304" t="s">
        <v>577</v>
      </c>
      <c r="L304" t="str" cm="1">
        <f t="array" ref="L304">IF(SUMPRODUCT(COUNTIF(empresas_filtradas[[#This Row],[cnpj]:[email]],"*"&amp;#REF!&amp;"*"))&gt;0,"sim","não")</f>
        <v>não</v>
      </c>
      <c r="M304" t="s">
        <v>950</v>
      </c>
      <c r="N304" t="str">
        <f>_xlfn.XLOOKUP(empresas_filtradas[[#This Row],[cnpj]], empresas_identificadas_compleme!A:A, empresas_identificadas_compleme!B:B)</f>
        <v>talvez</v>
      </c>
      <c r="O304" t="str">
        <f>_xlfn.XLOOKUP(empresas_filtradas[[#This Row],[cnpj]], empresas_identificadas_compleme!A:A, empresas_identificadas_compleme!C:C)</f>
        <v>CTF_APP</v>
      </c>
    </row>
    <row r="305" spans="1:15" x14ac:dyDescent="0.25">
      <c r="A305">
        <v>42009640000102</v>
      </c>
      <c r="B305" t="s">
        <v>578</v>
      </c>
      <c r="C305">
        <v>2</v>
      </c>
      <c r="E305">
        <v>2014200</v>
      </c>
      <c r="F305" t="s">
        <v>196</v>
      </c>
      <c r="G305" t="s">
        <v>579</v>
      </c>
      <c r="H305">
        <v>72901485</v>
      </c>
      <c r="I305" t="s">
        <v>173</v>
      </c>
      <c r="J305">
        <v>9677</v>
      </c>
      <c r="K305" t="s">
        <v>580</v>
      </c>
      <c r="L305" t="str" cm="1">
        <f t="array" ref="L305">IF(SUMPRODUCT(COUNTIF(empresas_filtradas[[#This Row],[cnpj]:[email]],"*"&amp;#REF!&amp;"*"))&gt;0,"sim","não")</f>
        <v>não</v>
      </c>
      <c r="M305" t="s">
        <v>950</v>
      </c>
      <c r="N305" t="str">
        <f>_xlfn.XLOOKUP(empresas_filtradas[[#This Row],[cnpj]], empresas_identificadas_compleme!A:A, empresas_identificadas_compleme!B:B)</f>
        <v>produz_h2</v>
      </c>
      <c r="O305">
        <f>_xlfn.XLOOKUP(empresas_filtradas[[#This Row],[cnpj]], empresas_identificadas_compleme!A:A, empresas_identificadas_compleme!C:C)</f>
        <v>0</v>
      </c>
    </row>
    <row r="306" spans="1:15" hidden="1" x14ac:dyDescent="0.25">
      <c r="A306">
        <v>43311032000110</v>
      </c>
      <c r="B306" t="s">
        <v>15</v>
      </c>
      <c r="C306">
        <v>2</v>
      </c>
      <c r="E306">
        <v>2014200</v>
      </c>
      <c r="F306" t="s">
        <v>363</v>
      </c>
      <c r="G306" t="s">
        <v>581</v>
      </c>
      <c r="H306">
        <v>1014907</v>
      </c>
      <c r="I306" t="s">
        <v>32</v>
      </c>
      <c r="J306">
        <v>7107</v>
      </c>
      <c r="K306" t="s">
        <v>582</v>
      </c>
      <c r="L306" t="str" cm="1">
        <f t="array" ref="L306">IF(SUMPRODUCT(COUNTIF(empresas_filtradas[[#This Row],[cnpj]:[email]],"*"&amp;#REF!&amp;"*"))&gt;0,"sim","não")</f>
        <v>não</v>
      </c>
      <c r="M306" t="s">
        <v>952</v>
      </c>
      <c r="N306" t="str">
        <f>_xlfn.XLOOKUP(empresas_filtradas[[#This Row],[cnpj]], empresas_identificadas_compleme!A:A, empresas_identificadas_compleme!B:B)</f>
        <v>talvez</v>
      </c>
      <c r="O306" t="str">
        <f>_xlfn.XLOOKUP(empresas_filtradas[[#This Row],[cnpj]], empresas_identificadas_compleme!A:A, empresas_identificadas_compleme!C:C)</f>
        <v>CTF_APP e 80km</v>
      </c>
    </row>
    <row r="307" spans="1:15" x14ac:dyDescent="0.25">
      <c r="A307" s="1">
        <v>33626638000191</v>
      </c>
      <c r="B307" t="s">
        <v>583</v>
      </c>
      <c r="C307">
        <v>2</v>
      </c>
      <c r="E307">
        <v>2014200</v>
      </c>
      <c r="F307" t="s">
        <v>196</v>
      </c>
      <c r="G307" t="s">
        <v>584</v>
      </c>
      <c r="H307">
        <v>68514500</v>
      </c>
      <c r="I307" t="s">
        <v>78</v>
      </c>
      <c r="J307">
        <v>483</v>
      </c>
      <c r="K307" t="s">
        <v>585</v>
      </c>
      <c r="L307" t="str" cm="1">
        <f t="array" ref="L307">IF(SUMPRODUCT(COUNTIF(empresas_filtradas[[#This Row],[cnpj]:[email]],"*"&amp;#REF!&amp;"*"))&gt;0,"sim","não")</f>
        <v>não</v>
      </c>
      <c r="M307" t="s">
        <v>950</v>
      </c>
      <c r="N307" t="str">
        <f>_xlfn.XLOOKUP(empresas_filtradas[[#This Row],[cnpj]], empresas_identificadas_compleme!A:A, empresas_identificadas_compleme!B:B)</f>
        <v>talvez</v>
      </c>
      <c r="O307" t="str">
        <f>_xlfn.XLOOKUP(empresas_filtradas[[#This Row],[cnpj]], empresas_identificadas_compleme!A:A, empresas_identificadas_compleme!C:C)</f>
        <v>CTF_APP</v>
      </c>
    </row>
    <row r="308" spans="1:15" hidden="1" x14ac:dyDescent="0.25">
      <c r="A308">
        <v>47247409000170</v>
      </c>
      <c r="B308" t="s">
        <v>586</v>
      </c>
      <c r="C308">
        <v>2</v>
      </c>
      <c r="D308">
        <v>23</v>
      </c>
      <c r="E308">
        <v>2014200</v>
      </c>
      <c r="F308" t="s">
        <v>16</v>
      </c>
      <c r="G308" t="s">
        <v>587</v>
      </c>
      <c r="I308" t="s">
        <v>53</v>
      </c>
      <c r="J308">
        <v>9707</v>
      </c>
      <c r="K308" t="s">
        <v>588</v>
      </c>
      <c r="L308" t="str" cm="1">
        <f t="array" ref="L308">IF(SUMPRODUCT(COUNTIF(empresas_filtradas[[#This Row],[cnpj]:[email]],"*"&amp;#REF!&amp;"*"))&gt;0,"sim","não")</f>
        <v>não</v>
      </c>
      <c r="M308" t="s">
        <v>727</v>
      </c>
      <c r="N308" t="str">
        <f>_xlfn.XLOOKUP(empresas_filtradas[[#This Row],[cnpj]], empresas_identificadas_compleme!A:A, empresas_identificadas_compleme!B:B)</f>
        <v>produz_h2</v>
      </c>
      <c r="O308">
        <f>_xlfn.XLOOKUP(empresas_filtradas[[#This Row],[cnpj]], empresas_identificadas_compleme!A:A, empresas_identificadas_compleme!C:C)</f>
        <v>0</v>
      </c>
    </row>
    <row r="309" spans="1:15" hidden="1" x14ac:dyDescent="0.25">
      <c r="A309">
        <v>48195548000160</v>
      </c>
      <c r="B309" t="s">
        <v>15</v>
      </c>
      <c r="C309">
        <v>2</v>
      </c>
      <c r="E309">
        <v>2014200</v>
      </c>
      <c r="F309" t="s">
        <v>82</v>
      </c>
      <c r="G309" t="s">
        <v>83</v>
      </c>
      <c r="H309">
        <v>30170008</v>
      </c>
      <c r="I309" t="s">
        <v>17</v>
      </c>
      <c r="J309">
        <v>4123</v>
      </c>
      <c r="K309" t="s">
        <v>84</v>
      </c>
      <c r="L309" t="str" cm="1">
        <f t="array" ref="L309">IF(SUMPRODUCT(COUNTIF(empresas_filtradas[[#This Row],[cnpj]:[email]],"*"&amp;#REF!&amp;"*"))&gt;0,"sim","não")</f>
        <v>não</v>
      </c>
      <c r="M309" t="s">
        <v>727</v>
      </c>
      <c r="N309" t="str">
        <f>_xlfn.XLOOKUP(empresas_filtradas[[#This Row],[cnpj]], empresas_identificadas_compleme!A:A, empresas_identificadas_compleme!B:B)</f>
        <v>talvez</v>
      </c>
      <c r="O309" t="str">
        <f>_xlfn.XLOOKUP(empresas_filtradas[[#This Row],[cnpj]], empresas_identificadas_compleme!A:A, empresas_identificadas_compleme!C:C)</f>
        <v>80km</v>
      </c>
    </row>
    <row r="310" spans="1:15" hidden="1" x14ac:dyDescent="0.25">
      <c r="A310" s="1">
        <v>35820448022296</v>
      </c>
      <c r="B310" t="s">
        <v>15</v>
      </c>
      <c r="C310">
        <v>2</v>
      </c>
      <c r="E310">
        <v>2014200</v>
      </c>
      <c r="F310" t="s">
        <v>16</v>
      </c>
      <c r="G310" t="s">
        <v>589</v>
      </c>
      <c r="H310">
        <v>79180000</v>
      </c>
      <c r="I310" t="s">
        <v>62</v>
      </c>
      <c r="J310">
        <v>9141</v>
      </c>
      <c r="K310" t="s">
        <v>33</v>
      </c>
      <c r="L310" t="str" cm="1">
        <f t="array" ref="L310">IF(SUMPRODUCT(COUNTIF(empresas_filtradas[[#This Row],[cnpj]:[email]],"*"&amp;#REF!&amp;"*"))&gt;0,"sim","não")</f>
        <v>não</v>
      </c>
      <c r="M310" t="s">
        <v>727</v>
      </c>
      <c r="N310" t="str">
        <f>_xlfn.XLOOKUP(empresas_filtradas[[#This Row],[cnpj]], empresas_identificadas_compleme!A:A, empresas_identificadas_compleme!B:B)</f>
        <v>talvez</v>
      </c>
      <c r="O310" t="str">
        <f>_xlfn.XLOOKUP(empresas_filtradas[[#This Row],[cnpj]], empresas_identificadas_compleme!A:A, empresas_identificadas_compleme!C:C)</f>
        <v>CTF_APP</v>
      </c>
    </row>
    <row r="311" spans="1:15" x14ac:dyDescent="0.25">
      <c r="A311">
        <v>48969993000130</v>
      </c>
      <c r="B311" t="s">
        <v>590</v>
      </c>
      <c r="C311">
        <v>2</v>
      </c>
      <c r="D311">
        <v>105</v>
      </c>
      <c r="E311">
        <v>2014200</v>
      </c>
      <c r="F311" t="s">
        <v>591</v>
      </c>
      <c r="G311" t="s">
        <v>592</v>
      </c>
      <c r="H311">
        <v>74350740</v>
      </c>
      <c r="I311" t="s">
        <v>173</v>
      </c>
      <c r="J311">
        <v>9373</v>
      </c>
      <c r="K311" t="s">
        <v>593</v>
      </c>
      <c r="L311" t="str" cm="1">
        <f t="array" ref="L311">IF(SUMPRODUCT(COUNTIF(empresas_filtradas[[#This Row],[cnpj]:[email]],"*"&amp;#REF!&amp;"*"))&gt;0,"sim","não")</f>
        <v>não</v>
      </c>
      <c r="M311" t="s">
        <v>950</v>
      </c>
      <c r="N311" t="str">
        <f>_xlfn.XLOOKUP(empresas_filtradas[[#This Row],[cnpj]], empresas_identificadas_compleme!A:A, empresas_identificadas_compleme!B:B)</f>
        <v>talvez</v>
      </c>
      <c r="O311">
        <f>_xlfn.XLOOKUP(empresas_filtradas[[#This Row],[cnpj]], empresas_identificadas_compleme!A:A, empresas_identificadas_compleme!C:C)</f>
        <v>0</v>
      </c>
    </row>
    <row r="312" spans="1:15" hidden="1" x14ac:dyDescent="0.25">
      <c r="A312">
        <v>40667406000490</v>
      </c>
      <c r="B312" t="s">
        <v>15</v>
      </c>
      <c r="C312">
        <v>2</v>
      </c>
      <c r="E312">
        <v>2014200</v>
      </c>
      <c r="F312" t="s">
        <v>594</v>
      </c>
      <c r="G312" t="s">
        <v>595</v>
      </c>
      <c r="H312">
        <v>76380290</v>
      </c>
      <c r="I312" t="s">
        <v>173</v>
      </c>
      <c r="J312">
        <v>9371</v>
      </c>
      <c r="K312" t="s">
        <v>596</v>
      </c>
      <c r="L312" t="str" cm="1">
        <f t="array" ref="L312">IF(SUMPRODUCT(COUNTIF(empresas_filtradas[[#This Row],[cnpj]:[email]],"*"&amp;#REF!&amp;"*"))&gt;0,"sim","não")</f>
        <v>não</v>
      </c>
      <c r="M312" t="s">
        <v>952</v>
      </c>
      <c r="N312" t="str">
        <f>_xlfn.XLOOKUP(empresas_filtradas[[#This Row],[cnpj]], empresas_identificadas_compleme!A:A, empresas_identificadas_compleme!B:B)</f>
        <v>produz_h2</v>
      </c>
      <c r="O312">
        <f>_xlfn.XLOOKUP(empresas_filtradas[[#This Row],[cnpj]], empresas_identificadas_compleme!A:A, empresas_identificadas_compleme!C:C)</f>
        <v>0</v>
      </c>
    </row>
    <row r="313" spans="1:15" x14ac:dyDescent="0.25">
      <c r="A313" s="1">
        <v>53145723000145</v>
      </c>
      <c r="B313" t="s">
        <v>597</v>
      </c>
      <c r="C313">
        <v>2</v>
      </c>
      <c r="E313">
        <v>2014200</v>
      </c>
      <c r="F313" t="s">
        <v>598</v>
      </c>
      <c r="G313" t="s">
        <v>15</v>
      </c>
      <c r="H313">
        <v>17342634</v>
      </c>
      <c r="I313" t="s">
        <v>32</v>
      </c>
      <c r="J313">
        <v>6205</v>
      </c>
      <c r="K313" t="s">
        <v>599</v>
      </c>
      <c r="L313" t="str" cm="1">
        <f t="array" ref="L313">IF(SUMPRODUCT(COUNTIF(empresas_filtradas[[#This Row],[cnpj]:[email]],"*"&amp;#REF!&amp;"*"))&gt;0,"sim","não")</f>
        <v>não</v>
      </c>
      <c r="M313" t="s">
        <v>950</v>
      </c>
      <c r="N313" t="str">
        <f>_xlfn.XLOOKUP(empresas_filtradas[[#This Row],[cnpj]], empresas_identificadas_compleme!A:A, empresas_identificadas_compleme!B:B)</f>
        <v>talvez</v>
      </c>
      <c r="O313" t="str">
        <f>_xlfn.XLOOKUP(empresas_filtradas[[#This Row],[cnpj]], empresas_identificadas_compleme!A:A, empresas_identificadas_compleme!C:C)</f>
        <v>CTF_APP</v>
      </c>
    </row>
    <row r="314" spans="1:15" x14ac:dyDescent="0.25">
      <c r="A314">
        <v>48702159000265</v>
      </c>
      <c r="B314" t="s">
        <v>600</v>
      </c>
      <c r="C314">
        <v>2</v>
      </c>
      <c r="E314">
        <v>2014200</v>
      </c>
      <c r="F314" t="s">
        <v>477</v>
      </c>
      <c r="G314" t="s">
        <v>601</v>
      </c>
      <c r="H314">
        <v>59146460</v>
      </c>
      <c r="I314" t="s">
        <v>71</v>
      </c>
      <c r="J314">
        <v>1779</v>
      </c>
      <c r="K314" t="s">
        <v>602</v>
      </c>
      <c r="L314" t="str" cm="1">
        <f t="array" ref="L314">IF(SUMPRODUCT(COUNTIF(empresas_filtradas[[#This Row],[cnpj]:[email]],"*"&amp;#REF!&amp;"*"))&gt;0,"sim","não")</f>
        <v>não</v>
      </c>
      <c r="M314" t="s">
        <v>950</v>
      </c>
      <c r="N314" t="str">
        <f>_xlfn.XLOOKUP(empresas_filtradas[[#This Row],[cnpj]], empresas_identificadas_compleme!A:A, empresas_identificadas_compleme!B:B)</f>
        <v>talvez</v>
      </c>
      <c r="O314">
        <f>_xlfn.XLOOKUP(empresas_filtradas[[#This Row],[cnpj]], empresas_identificadas_compleme!A:A, empresas_identificadas_compleme!C:C)</f>
        <v>0</v>
      </c>
    </row>
    <row r="315" spans="1:15" x14ac:dyDescent="0.25">
      <c r="A315">
        <v>64081687000110</v>
      </c>
      <c r="B315" t="s">
        <v>603</v>
      </c>
      <c r="C315">
        <v>2</v>
      </c>
      <c r="D315">
        <v>493</v>
      </c>
      <c r="E315">
        <v>2014200</v>
      </c>
      <c r="F315" t="s">
        <v>16</v>
      </c>
      <c r="G315" t="s">
        <v>604</v>
      </c>
      <c r="I315" t="s">
        <v>53</v>
      </c>
      <c r="J315">
        <v>9707</v>
      </c>
      <c r="K315" t="s">
        <v>375</v>
      </c>
      <c r="L315" t="str" cm="1">
        <f t="array" ref="L315">IF(SUMPRODUCT(COUNTIF(empresas_filtradas[[#This Row],[cnpj]:[email]],"*"&amp;#REF!&amp;"*"))&gt;0,"sim","não")</f>
        <v>não</v>
      </c>
      <c r="M315" t="s">
        <v>950</v>
      </c>
      <c r="N315" t="str">
        <f>_xlfn.XLOOKUP(empresas_filtradas[[#This Row],[cnpj]], empresas_identificadas_compleme!A:A, empresas_identificadas_compleme!B:B)</f>
        <v>produz_h2</v>
      </c>
      <c r="O315">
        <f>_xlfn.XLOOKUP(empresas_filtradas[[#This Row],[cnpj]], empresas_identificadas_compleme!A:A, empresas_identificadas_compleme!C:C)</f>
        <v>0</v>
      </c>
    </row>
    <row r="316" spans="1:15" hidden="1" x14ac:dyDescent="0.25">
      <c r="A316">
        <v>1666621000171</v>
      </c>
      <c r="B316" t="s">
        <v>15</v>
      </c>
      <c r="C316">
        <v>2</v>
      </c>
      <c r="E316">
        <v>2014200</v>
      </c>
      <c r="F316" t="s">
        <v>605</v>
      </c>
      <c r="G316" t="s">
        <v>15</v>
      </c>
      <c r="H316">
        <v>88702504</v>
      </c>
      <c r="I316" t="s">
        <v>65</v>
      </c>
      <c r="J316">
        <v>8367</v>
      </c>
      <c r="K316" t="s">
        <v>606</v>
      </c>
      <c r="L316" t="str" cm="1">
        <f t="array" ref="L316">IF(SUMPRODUCT(COUNTIF(empresas_filtradas[[#This Row],[cnpj]:[email]],"*"&amp;#REF!&amp;"*"))&gt;0,"sim","não")</f>
        <v>não</v>
      </c>
      <c r="M316" t="s">
        <v>951</v>
      </c>
      <c r="N316" t="str">
        <f>_xlfn.XLOOKUP(empresas_filtradas[[#This Row],[cnpj]], empresas_identificadas_compleme!A:A, empresas_identificadas_compleme!B:B)</f>
        <v>incerto</v>
      </c>
      <c r="O316" t="str">
        <f>_xlfn.XLOOKUP(empresas_filtradas[[#This Row],[cnpj]], empresas_identificadas_compleme!A:A, empresas_identificadas_compleme!C:C)</f>
        <v>CTF_APP</v>
      </c>
    </row>
    <row r="317" spans="1:15" x14ac:dyDescent="0.25">
      <c r="A317" s="1">
        <v>2084922000150</v>
      </c>
      <c r="B317" t="s">
        <v>15</v>
      </c>
      <c r="C317">
        <v>2</v>
      </c>
      <c r="E317">
        <v>2014200</v>
      </c>
      <c r="F317" t="s">
        <v>607</v>
      </c>
      <c r="G317" t="s">
        <v>608</v>
      </c>
      <c r="H317">
        <v>69089050</v>
      </c>
      <c r="I317" t="s">
        <v>114</v>
      </c>
      <c r="J317">
        <v>255</v>
      </c>
      <c r="K317" t="s">
        <v>609</v>
      </c>
      <c r="L317" t="str" cm="1">
        <f t="array" ref="L317">IF(SUMPRODUCT(COUNTIF(empresas_filtradas[[#This Row],[cnpj]:[email]],"*"&amp;#REF!&amp;"*"))&gt;0,"sim","não")</f>
        <v>não</v>
      </c>
      <c r="M317" t="s">
        <v>950</v>
      </c>
      <c r="N317" t="str">
        <f>_xlfn.XLOOKUP(empresas_filtradas[[#This Row],[cnpj]], empresas_identificadas_compleme!A:A, empresas_identificadas_compleme!B:B)</f>
        <v>talvez</v>
      </c>
      <c r="O317" t="str">
        <f>_xlfn.XLOOKUP(empresas_filtradas[[#This Row],[cnpj]], empresas_identificadas_compleme!A:A, empresas_identificadas_compleme!C:C)</f>
        <v>CTF_APP</v>
      </c>
    </row>
    <row r="318" spans="1:15" hidden="1" x14ac:dyDescent="0.25">
      <c r="A318" s="1">
        <v>24380578003285</v>
      </c>
      <c r="B318" t="s">
        <v>15</v>
      </c>
      <c r="C318">
        <v>2</v>
      </c>
      <c r="E318">
        <v>2014200</v>
      </c>
      <c r="F318" t="s">
        <v>610</v>
      </c>
      <c r="G318" t="s">
        <v>15</v>
      </c>
      <c r="H318">
        <v>60310000</v>
      </c>
      <c r="I318" t="s">
        <v>108</v>
      </c>
      <c r="J318">
        <v>1389</v>
      </c>
      <c r="K318" t="s">
        <v>33</v>
      </c>
      <c r="L318" t="str" cm="1">
        <f t="array" ref="L318">IF(SUMPRODUCT(COUNTIF(empresas_filtradas[[#This Row],[cnpj]:[email]],"*"&amp;#REF!&amp;"*"))&gt;0,"sim","não")</f>
        <v>não</v>
      </c>
      <c r="M318" t="s">
        <v>727</v>
      </c>
      <c r="N318" t="str">
        <f>_xlfn.XLOOKUP(empresas_filtradas[[#This Row],[cnpj]], empresas_identificadas_compleme!A:A, empresas_identificadas_compleme!B:B)</f>
        <v>talvez</v>
      </c>
      <c r="O318" t="str">
        <f>_xlfn.XLOOKUP(empresas_filtradas[[#This Row],[cnpj]], empresas_identificadas_compleme!A:A, empresas_identificadas_compleme!C:C)</f>
        <v>80km</v>
      </c>
    </row>
    <row r="319" spans="1:15" hidden="1" x14ac:dyDescent="0.25">
      <c r="A319" s="1">
        <v>35820448016482</v>
      </c>
      <c r="B319" t="s">
        <v>15</v>
      </c>
      <c r="C319">
        <v>2</v>
      </c>
      <c r="E319">
        <v>2014200</v>
      </c>
      <c r="F319" t="s">
        <v>611</v>
      </c>
      <c r="G319" t="s">
        <v>15</v>
      </c>
      <c r="H319">
        <v>83707746</v>
      </c>
      <c r="I319" t="s">
        <v>45</v>
      </c>
      <c r="J319">
        <v>7435</v>
      </c>
      <c r="K319" t="s">
        <v>33</v>
      </c>
      <c r="L319" t="str" cm="1">
        <f t="array" ref="L319">IF(SUMPRODUCT(COUNTIF(empresas_filtradas[[#This Row],[cnpj]:[email]],"*"&amp;#REF!&amp;"*"))&gt;0,"sim","não")</f>
        <v>não</v>
      </c>
      <c r="M319" t="s">
        <v>728</v>
      </c>
      <c r="N319" t="str">
        <f>_xlfn.XLOOKUP(empresas_filtradas[[#This Row],[cnpj]], empresas_identificadas_compleme!A:A, empresas_identificadas_compleme!B:B)</f>
        <v>talvez</v>
      </c>
      <c r="O319" t="str">
        <f>_xlfn.XLOOKUP(empresas_filtradas[[#This Row],[cnpj]], empresas_identificadas_compleme!A:A, empresas_identificadas_compleme!C:C)</f>
        <v>CTF_APP e 80km</v>
      </c>
    </row>
    <row r="320" spans="1:15" hidden="1" x14ac:dyDescent="0.25">
      <c r="A320" s="1">
        <v>35820448005952</v>
      </c>
      <c r="B320" t="s">
        <v>15</v>
      </c>
      <c r="C320">
        <v>2</v>
      </c>
      <c r="E320">
        <v>2014200</v>
      </c>
      <c r="F320" t="s">
        <v>612</v>
      </c>
      <c r="G320" t="s">
        <v>15</v>
      </c>
      <c r="H320">
        <v>98005150</v>
      </c>
      <c r="I320" t="s">
        <v>117</v>
      </c>
      <c r="J320">
        <v>8619</v>
      </c>
      <c r="K320" t="s">
        <v>33</v>
      </c>
      <c r="L320" t="str" cm="1">
        <f t="array" ref="L320">IF(SUMPRODUCT(COUNTIF(empresas_filtradas[[#This Row],[cnpj]:[email]],"*"&amp;#REF!&amp;"*"))&gt;0,"sim","não")</f>
        <v>não</v>
      </c>
      <c r="M320" t="s">
        <v>727</v>
      </c>
      <c r="N320" t="str">
        <f>_xlfn.XLOOKUP(empresas_filtradas[[#This Row],[cnpj]], empresas_identificadas_compleme!A:A, empresas_identificadas_compleme!B:B)</f>
        <v>talvez</v>
      </c>
      <c r="O320" t="str">
        <f>_xlfn.XLOOKUP(empresas_filtradas[[#This Row],[cnpj]], empresas_identificadas_compleme!A:A, empresas_identificadas_compleme!C:C)</f>
        <v>CTF_APP</v>
      </c>
    </row>
    <row r="321" spans="1:15" hidden="1" x14ac:dyDescent="0.25">
      <c r="A321" s="1">
        <v>35820448006924</v>
      </c>
      <c r="B321" t="s">
        <v>15</v>
      </c>
      <c r="C321">
        <v>2</v>
      </c>
      <c r="E321">
        <v>2014200</v>
      </c>
      <c r="F321" t="s">
        <v>613</v>
      </c>
      <c r="G321" t="s">
        <v>15</v>
      </c>
      <c r="H321">
        <v>7210007</v>
      </c>
      <c r="I321" t="s">
        <v>32</v>
      </c>
      <c r="J321">
        <v>6477</v>
      </c>
      <c r="K321" t="s">
        <v>33</v>
      </c>
      <c r="L321" t="str" cm="1">
        <f t="array" ref="L321">IF(SUMPRODUCT(COUNTIF(empresas_filtradas[[#This Row],[cnpj]:[email]],"*"&amp;#REF!&amp;"*"))&gt;0,"sim","não")</f>
        <v>não</v>
      </c>
      <c r="M321" t="s">
        <v>728</v>
      </c>
      <c r="N321" t="str">
        <f>_xlfn.XLOOKUP(empresas_filtradas[[#This Row],[cnpj]], empresas_identificadas_compleme!A:A, empresas_identificadas_compleme!B:B)</f>
        <v>talvez</v>
      </c>
      <c r="O321" t="str">
        <f>_xlfn.XLOOKUP(empresas_filtradas[[#This Row],[cnpj]], empresas_identificadas_compleme!A:A, empresas_identificadas_compleme!C:C)</f>
        <v>CTF_APP e 80km</v>
      </c>
    </row>
    <row r="322" spans="1:15" hidden="1" x14ac:dyDescent="0.25">
      <c r="A322">
        <v>35820448015400</v>
      </c>
      <c r="B322" t="s">
        <v>15</v>
      </c>
      <c r="C322">
        <v>2</v>
      </c>
      <c r="E322">
        <v>2014200</v>
      </c>
      <c r="F322" t="s">
        <v>196</v>
      </c>
      <c r="G322" t="s">
        <v>26</v>
      </c>
      <c r="H322">
        <v>32605608</v>
      </c>
      <c r="I322" t="s">
        <v>17</v>
      </c>
      <c r="J322">
        <v>4133</v>
      </c>
      <c r="K322" t="s">
        <v>15</v>
      </c>
      <c r="L322" t="str" cm="1">
        <f t="array" ref="L322">IF(SUMPRODUCT(COUNTIF(empresas_filtradas[[#This Row],[cnpj]:[email]],"*"&amp;#REF!&amp;"*"))&gt;0,"sim","não")</f>
        <v>não</v>
      </c>
      <c r="M322" t="s">
        <v>728</v>
      </c>
      <c r="N322" t="str">
        <f>_xlfn.XLOOKUP(empresas_filtradas[[#This Row],[cnpj]], empresas_identificadas_compleme!A:A, empresas_identificadas_compleme!B:B)</f>
        <v>produz_h2</v>
      </c>
      <c r="O322" t="str">
        <f>_xlfn.XLOOKUP(empresas_filtradas[[#This Row],[cnpj]], empresas_identificadas_compleme!A:A, empresas_identificadas_compleme!C:C)</f>
        <v>CTF_APP e 80km</v>
      </c>
    </row>
    <row r="323" spans="1:15" hidden="1" x14ac:dyDescent="0.25">
      <c r="A323">
        <v>43843358001756</v>
      </c>
      <c r="B323" t="s">
        <v>15</v>
      </c>
      <c r="C323">
        <v>2</v>
      </c>
      <c r="E323">
        <v>2014200</v>
      </c>
      <c r="F323" t="s">
        <v>614</v>
      </c>
      <c r="G323" t="s">
        <v>15</v>
      </c>
      <c r="H323">
        <v>14808165</v>
      </c>
      <c r="I323" t="s">
        <v>32</v>
      </c>
      <c r="J323">
        <v>6163</v>
      </c>
      <c r="K323" t="s">
        <v>37</v>
      </c>
      <c r="L323" t="str" cm="1">
        <f t="array" ref="L323">IF(SUMPRODUCT(COUNTIF(empresas_filtradas[[#This Row],[cnpj]:[email]],"*"&amp;#REF!&amp;"*"))&gt;0,"sim","não")</f>
        <v>não</v>
      </c>
      <c r="M323" t="s">
        <v>727</v>
      </c>
      <c r="N323" t="str">
        <f>_xlfn.XLOOKUP(empresas_filtradas[[#This Row],[cnpj]], empresas_identificadas_compleme!A:A, empresas_identificadas_compleme!B:B)</f>
        <v>talvez</v>
      </c>
      <c r="O323" t="str">
        <f>_xlfn.XLOOKUP(empresas_filtradas[[#This Row],[cnpj]], empresas_identificadas_compleme!A:A, empresas_identificadas_compleme!C:C)</f>
        <v>CTF_APP</v>
      </c>
    </row>
    <row r="324" spans="1:15" hidden="1" x14ac:dyDescent="0.25">
      <c r="A324">
        <v>60619202000733</v>
      </c>
      <c r="B324" t="s">
        <v>21</v>
      </c>
      <c r="C324">
        <v>2</v>
      </c>
      <c r="E324">
        <v>2014200</v>
      </c>
      <c r="F324" t="s">
        <v>329</v>
      </c>
      <c r="G324" t="s">
        <v>615</v>
      </c>
      <c r="H324">
        <v>25070235</v>
      </c>
      <c r="I324" t="s">
        <v>27</v>
      </c>
      <c r="J324">
        <v>5833</v>
      </c>
      <c r="K324" t="s">
        <v>24</v>
      </c>
      <c r="L324" t="str" cm="1">
        <f t="array" ref="L324">IF(SUMPRODUCT(COUNTIF(empresas_filtradas[[#This Row],[cnpj]:[email]],"*"&amp;#REF!&amp;"*"))&gt;0,"sim","não")</f>
        <v>não</v>
      </c>
      <c r="M324" t="s">
        <v>728</v>
      </c>
      <c r="N324" t="str">
        <f>_xlfn.XLOOKUP(empresas_filtradas[[#This Row],[cnpj]], empresas_identificadas_compleme!A:A, empresas_identificadas_compleme!B:B)</f>
        <v>talvez</v>
      </c>
      <c r="O324" t="str">
        <f>_xlfn.XLOOKUP(empresas_filtradas[[#This Row],[cnpj]], empresas_identificadas_compleme!A:A, empresas_identificadas_compleme!C:C)</f>
        <v>CTF_APP e 80km</v>
      </c>
    </row>
    <row r="325" spans="1:15" x14ac:dyDescent="0.25">
      <c r="A325" s="1">
        <v>7086661000120</v>
      </c>
      <c r="B325" t="s">
        <v>15</v>
      </c>
      <c r="C325">
        <v>2</v>
      </c>
      <c r="E325">
        <v>2014200</v>
      </c>
      <c r="F325" t="s">
        <v>616</v>
      </c>
      <c r="G325" t="s">
        <v>15</v>
      </c>
      <c r="H325">
        <v>16058500</v>
      </c>
      <c r="I325" t="s">
        <v>32</v>
      </c>
      <c r="J325">
        <v>6155</v>
      </c>
      <c r="K325" t="s">
        <v>617</v>
      </c>
      <c r="L325" t="str" cm="1">
        <f t="array" ref="L325">IF(SUMPRODUCT(COUNTIF(empresas_filtradas[[#This Row],[cnpj]:[email]],"*"&amp;#REF!&amp;"*"))&gt;0,"sim","não")</f>
        <v>não</v>
      </c>
      <c r="M325" t="s">
        <v>950</v>
      </c>
      <c r="N325" t="str">
        <f>_xlfn.XLOOKUP(empresas_filtradas[[#This Row],[cnpj]], empresas_identificadas_compleme!A:A, empresas_identificadas_compleme!B:B)</f>
        <v>talvez</v>
      </c>
      <c r="O325" t="str">
        <f>_xlfn.XLOOKUP(empresas_filtradas[[#This Row],[cnpj]], empresas_identificadas_compleme!A:A, empresas_identificadas_compleme!C:C)</f>
        <v>CTF_APP</v>
      </c>
    </row>
    <row r="326" spans="1:15" x14ac:dyDescent="0.25">
      <c r="A326">
        <v>41068263000110</v>
      </c>
      <c r="B326" t="s">
        <v>89</v>
      </c>
      <c r="C326">
        <v>2</v>
      </c>
      <c r="E326">
        <v>2014200</v>
      </c>
      <c r="F326" t="s">
        <v>618</v>
      </c>
      <c r="G326" t="s">
        <v>15</v>
      </c>
      <c r="H326">
        <v>51170590</v>
      </c>
      <c r="I326" t="s">
        <v>92</v>
      </c>
      <c r="J326">
        <v>2531</v>
      </c>
      <c r="K326" t="s">
        <v>93</v>
      </c>
      <c r="L326" t="str" cm="1">
        <f t="array" ref="L326">IF(SUMPRODUCT(COUNTIF(empresas_filtradas[[#This Row],[cnpj]:[email]],"*"&amp;#REF!&amp;"*"))&gt;0,"sim","não")</f>
        <v>não</v>
      </c>
      <c r="M326" t="s">
        <v>950</v>
      </c>
      <c r="N326" t="e">
        <f>_xlfn.XLOOKUP(empresas_filtradas[[#This Row],[cnpj]], empresas_identificadas_compleme!A:A, empresas_identificadas_compleme!B:B)</f>
        <v>#N/A</v>
      </c>
      <c r="O326" t="e">
        <f>_xlfn.XLOOKUP(empresas_filtradas[[#This Row],[cnpj]], empresas_identificadas_compleme!A:A, empresas_identificadas_compleme!C:C)</f>
        <v>#N/A</v>
      </c>
    </row>
    <row r="327" spans="1:15" hidden="1" x14ac:dyDescent="0.25">
      <c r="A327" s="1">
        <v>34597955000513</v>
      </c>
      <c r="B327" t="s">
        <v>15</v>
      </c>
      <c r="C327">
        <v>2</v>
      </c>
      <c r="E327">
        <v>2014200</v>
      </c>
      <c r="F327" t="s">
        <v>16</v>
      </c>
      <c r="G327" t="s">
        <v>619</v>
      </c>
      <c r="H327">
        <v>65095170</v>
      </c>
      <c r="I327" t="s">
        <v>56</v>
      </c>
      <c r="J327">
        <v>921</v>
      </c>
      <c r="K327" t="s">
        <v>33</v>
      </c>
      <c r="L327" t="str" cm="1">
        <f t="array" ref="L327">IF(SUMPRODUCT(COUNTIF(empresas_filtradas[[#This Row],[cnpj]:[email]],"*"&amp;#REF!&amp;"*"))&gt;0,"sim","não")</f>
        <v>não</v>
      </c>
      <c r="M327" t="s">
        <v>727</v>
      </c>
      <c r="N327" t="str">
        <f>_xlfn.XLOOKUP(empresas_filtradas[[#This Row],[cnpj]], empresas_identificadas_compleme!A:A, empresas_identificadas_compleme!B:B)</f>
        <v>talvez</v>
      </c>
      <c r="O327" t="str">
        <f>_xlfn.XLOOKUP(empresas_filtradas[[#This Row],[cnpj]], empresas_identificadas_compleme!A:A, empresas_identificadas_compleme!C:C)</f>
        <v>CTF_APP</v>
      </c>
    </row>
    <row r="328" spans="1:15" hidden="1" x14ac:dyDescent="0.25">
      <c r="A328" s="1">
        <v>35820448009435</v>
      </c>
      <c r="B328" t="s">
        <v>15</v>
      </c>
      <c r="C328">
        <v>2</v>
      </c>
      <c r="E328">
        <v>2014200</v>
      </c>
      <c r="F328" t="s">
        <v>620</v>
      </c>
      <c r="G328" t="s">
        <v>15</v>
      </c>
      <c r="H328">
        <v>14176503</v>
      </c>
      <c r="I328" t="s">
        <v>32</v>
      </c>
      <c r="J328">
        <v>7135</v>
      </c>
      <c r="K328" t="s">
        <v>33</v>
      </c>
      <c r="L328" t="str" cm="1">
        <f t="array" ref="L328">IF(SUMPRODUCT(COUNTIF(empresas_filtradas[[#This Row],[cnpj]:[email]],"*"&amp;#REF!&amp;"*"))&gt;0,"sim","não")</f>
        <v>não</v>
      </c>
      <c r="M328" t="s">
        <v>727</v>
      </c>
      <c r="N328" t="str">
        <f>_xlfn.XLOOKUP(empresas_filtradas[[#This Row],[cnpj]], empresas_identificadas_compleme!A:A, empresas_identificadas_compleme!B:B)</f>
        <v>talvez</v>
      </c>
      <c r="O328" t="str">
        <f>_xlfn.XLOOKUP(empresas_filtradas[[#This Row],[cnpj]], empresas_identificadas_compleme!A:A, empresas_identificadas_compleme!C:C)</f>
        <v>CTF_APP</v>
      </c>
    </row>
    <row r="329" spans="1:15" hidden="1" x14ac:dyDescent="0.25">
      <c r="A329" s="1">
        <v>34597955000432</v>
      </c>
      <c r="B329" t="s">
        <v>15</v>
      </c>
      <c r="C329">
        <v>2</v>
      </c>
      <c r="E329">
        <v>2014200</v>
      </c>
      <c r="F329" t="s">
        <v>621</v>
      </c>
      <c r="G329" t="s">
        <v>15</v>
      </c>
      <c r="H329">
        <v>69075155</v>
      </c>
      <c r="I329" t="s">
        <v>114</v>
      </c>
      <c r="J329">
        <v>255</v>
      </c>
      <c r="K329" t="s">
        <v>33</v>
      </c>
      <c r="L329" t="str" cm="1">
        <f t="array" ref="L329">IF(SUMPRODUCT(COUNTIF(empresas_filtradas[[#This Row],[cnpj]:[email]],"*"&amp;#REF!&amp;"*"))&gt;0,"sim","não")</f>
        <v>não</v>
      </c>
      <c r="M329" t="s">
        <v>727</v>
      </c>
      <c r="N329" t="str">
        <f>_xlfn.XLOOKUP(empresas_filtradas[[#This Row],[cnpj]], empresas_identificadas_compleme!A:A, empresas_identificadas_compleme!B:B)</f>
        <v>talvez</v>
      </c>
      <c r="O329" t="str">
        <f>_xlfn.XLOOKUP(empresas_filtradas[[#This Row],[cnpj]], empresas_identificadas_compleme!A:A, empresas_identificadas_compleme!C:C)</f>
        <v>CTF_APP</v>
      </c>
    </row>
    <row r="330" spans="1:15" hidden="1" x14ac:dyDescent="0.25">
      <c r="A330">
        <v>43843358001918</v>
      </c>
      <c r="B330" t="s">
        <v>15</v>
      </c>
      <c r="C330">
        <v>2</v>
      </c>
      <c r="E330">
        <v>2014200</v>
      </c>
      <c r="F330" t="s">
        <v>16</v>
      </c>
      <c r="G330" t="s">
        <v>622</v>
      </c>
      <c r="H330">
        <v>14210000</v>
      </c>
      <c r="I330" t="s">
        <v>32</v>
      </c>
      <c r="J330">
        <v>6653</v>
      </c>
      <c r="K330" t="s">
        <v>37</v>
      </c>
      <c r="L330" t="str" cm="1">
        <f t="array" ref="L330">IF(SUMPRODUCT(COUNTIF(empresas_filtradas[[#This Row],[cnpj]:[email]],"*"&amp;#REF!&amp;"*"))&gt;0,"sim","não")</f>
        <v>não</v>
      </c>
      <c r="M330" t="s">
        <v>727</v>
      </c>
      <c r="N330" t="str">
        <f>_xlfn.XLOOKUP(empresas_filtradas[[#This Row],[cnpj]], empresas_identificadas_compleme!A:A, empresas_identificadas_compleme!B:B)</f>
        <v>talvez</v>
      </c>
      <c r="O330" t="str">
        <f>_xlfn.XLOOKUP(empresas_filtradas[[#This Row],[cnpj]], empresas_identificadas_compleme!A:A, empresas_identificadas_compleme!C:C)</f>
        <v>CTF_APP</v>
      </c>
    </row>
    <row r="331" spans="1:15" hidden="1" x14ac:dyDescent="0.25">
      <c r="A331" s="1">
        <v>35820448003070</v>
      </c>
      <c r="B331" t="s">
        <v>15</v>
      </c>
      <c r="C331">
        <v>2</v>
      </c>
      <c r="E331">
        <v>2014200</v>
      </c>
      <c r="F331" t="s">
        <v>307</v>
      </c>
      <c r="G331" t="s">
        <v>15</v>
      </c>
      <c r="H331">
        <v>32010130</v>
      </c>
      <c r="I331" t="s">
        <v>17</v>
      </c>
      <c r="J331">
        <v>4371</v>
      </c>
      <c r="K331" t="s">
        <v>33</v>
      </c>
      <c r="L331" t="str" cm="1">
        <f t="array" ref="L331">IF(SUMPRODUCT(COUNTIF(empresas_filtradas[[#This Row],[cnpj]:[email]],"*"&amp;#REF!&amp;"*"))&gt;0,"sim","não")</f>
        <v>não</v>
      </c>
      <c r="M331" t="s">
        <v>728</v>
      </c>
      <c r="N331" t="str">
        <f>_xlfn.XLOOKUP(empresas_filtradas[[#This Row],[cnpj]], empresas_identificadas_compleme!A:A, empresas_identificadas_compleme!B:B)</f>
        <v>talvez</v>
      </c>
      <c r="O331" t="str">
        <f>_xlfn.XLOOKUP(empresas_filtradas[[#This Row],[cnpj]], empresas_identificadas_compleme!A:A, empresas_identificadas_compleme!C:C)</f>
        <v>CTF_APP e 80km</v>
      </c>
    </row>
    <row r="332" spans="1:15" hidden="1" x14ac:dyDescent="0.25">
      <c r="A332">
        <v>60619202004801</v>
      </c>
      <c r="B332" t="s">
        <v>21</v>
      </c>
      <c r="C332">
        <v>2</v>
      </c>
      <c r="E332">
        <v>2014200</v>
      </c>
      <c r="F332" t="s">
        <v>16</v>
      </c>
      <c r="G332" t="s">
        <v>623</v>
      </c>
      <c r="H332">
        <v>11573000</v>
      </c>
      <c r="I332" t="s">
        <v>32</v>
      </c>
      <c r="J332">
        <v>6371</v>
      </c>
      <c r="K332" t="s">
        <v>24</v>
      </c>
      <c r="L332" t="str" cm="1">
        <f t="array" ref="L332">IF(SUMPRODUCT(COUNTIF(empresas_filtradas[[#This Row],[cnpj]:[email]],"*"&amp;#REF!&amp;"*"))&gt;0,"sim","não")</f>
        <v>não</v>
      </c>
      <c r="M332" t="s">
        <v>728</v>
      </c>
      <c r="N332" t="str">
        <f>_xlfn.XLOOKUP(empresas_filtradas[[#This Row],[cnpj]], empresas_identificadas_compleme!A:A, empresas_identificadas_compleme!B:B)</f>
        <v>talvez</v>
      </c>
      <c r="O332" t="str">
        <f>_xlfn.XLOOKUP(empresas_filtradas[[#This Row],[cnpj]], empresas_identificadas_compleme!A:A, empresas_identificadas_compleme!C:C)</f>
        <v>CTF_APP e 80km</v>
      </c>
    </row>
    <row r="333" spans="1:15" hidden="1" x14ac:dyDescent="0.25">
      <c r="A333">
        <v>331788001271</v>
      </c>
      <c r="B333" t="s">
        <v>15</v>
      </c>
      <c r="C333">
        <v>2</v>
      </c>
      <c r="E333">
        <v>2014200</v>
      </c>
      <c r="F333" t="s">
        <v>258</v>
      </c>
      <c r="G333" t="s">
        <v>15</v>
      </c>
      <c r="H333">
        <v>14175350</v>
      </c>
      <c r="I333" t="s">
        <v>32</v>
      </c>
      <c r="J333">
        <v>7135</v>
      </c>
      <c r="K333" t="s">
        <v>28</v>
      </c>
      <c r="L333" t="str" cm="1">
        <f t="array" ref="L333">IF(SUMPRODUCT(COUNTIF(empresas_filtradas[[#This Row],[cnpj]:[email]],"*"&amp;#REF!&amp;"*"))&gt;0,"sim","não")</f>
        <v>não</v>
      </c>
      <c r="M333" t="s">
        <v>727</v>
      </c>
      <c r="N333" t="str">
        <f>_xlfn.XLOOKUP(empresas_filtradas[[#This Row],[cnpj]], empresas_identificadas_compleme!A:A, empresas_identificadas_compleme!B:B)</f>
        <v>talvez</v>
      </c>
      <c r="O333" t="str">
        <f>_xlfn.XLOOKUP(empresas_filtradas[[#This Row],[cnpj]], empresas_identificadas_compleme!A:A, empresas_identificadas_compleme!C:C)</f>
        <v>CTF_APP</v>
      </c>
    </row>
    <row r="334" spans="1:15" hidden="1" x14ac:dyDescent="0.25">
      <c r="A334" s="1">
        <v>14850457000108</v>
      </c>
      <c r="B334" t="s">
        <v>624</v>
      </c>
      <c r="C334">
        <v>2</v>
      </c>
      <c r="E334">
        <v>2014200</v>
      </c>
      <c r="F334" t="s">
        <v>625</v>
      </c>
      <c r="G334" t="s">
        <v>15</v>
      </c>
      <c r="H334">
        <v>43721760</v>
      </c>
      <c r="I334" t="s">
        <v>60</v>
      </c>
      <c r="J334">
        <v>3913</v>
      </c>
      <c r="K334" t="s">
        <v>626</v>
      </c>
      <c r="L334" t="str" cm="1">
        <f t="array" ref="L334">IF(SUMPRODUCT(COUNTIF(empresas_filtradas[[#This Row],[cnpj]:[email]],"*"&amp;#REF!&amp;"*"))&gt;0,"sim","não")</f>
        <v>não</v>
      </c>
      <c r="M334" t="s">
        <v>951</v>
      </c>
      <c r="N334" t="str">
        <f>_xlfn.XLOOKUP(empresas_filtradas[[#This Row],[cnpj]], empresas_identificadas_compleme!A:A, empresas_identificadas_compleme!B:B)</f>
        <v>talvez</v>
      </c>
      <c r="O334" t="str">
        <f>_xlfn.XLOOKUP(empresas_filtradas[[#This Row],[cnpj]], empresas_identificadas_compleme!A:A, empresas_identificadas_compleme!C:C)</f>
        <v>80km</v>
      </c>
    </row>
    <row r="335" spans="1:15" hidden="1" x14ac:dyDescent="0.25">
      <c r="A335" s="1">
        <v>35820448016725</v>
      </c>
      <c r="B335" t="s">
        <v>15</v>
      </c>
      <c r="C335">
        <v>2</v>
      </c>
      <c r="E335">
        <v>2014200</v>
      </c>
      <c r="F335" t="s">
        <v>627</v>
      </c>
      <c r="G335" t="s">
        <v>15</v>
      </c>
      <c r="H335">
        <v>25225030</v>
      </c>
      <c r="I335" t="s">
        <v>27</v>
      </c>
      <c r="J335">
        <v>5833</v>
      </c>
      <c r="K335" t="s">
        <v>33</v>
      </c>
      <c r="L335" t="str" cm="1">
        <f t="array" ref="L335">IF(SUMPRODUCT(COUNTIF(empresas_filtradas[[#This Row],[cnpj]:[email]],"*"&amp;#REF!&amp;"*"))&gt;0,"sim","não")</f>
        <v>não</v>
      </c>
      <c r="M335" t="s">
        <v>728</v>
      </c>
      <c r="N335" t="str">
        <f>_xlfn.XLOOKUP(empresas_filtradas[[#This Row],[cnpj]], empresas_identificadas_compleme!A:A, empresas_identificadas_compleme!B:B)</f>
        <v>talvez</v>
      </c>
      <c r="O335" t="str">
        <f>_xlfn.XLOOKUP(empresas_filtradas[[#This Row],[cnpj]], empresas_identificadas_compleme!A:A, empresas_identificadas_compleme!C:C)</f>
        <v>CTF_APP e 80km</v>
      </c>
    </row>
    <row r="336" spans="1:15" x14ac:dyDescent="0.25">
      <c r="A336" s="1">
        <v>9446066000184</v>
      </c>
      <c r="B336" t="s">
        <v>628</v>
      </c>
      <c r="C336">
        <v>2</v>
      </c>
      <c r="E336">
        <v>2014200</v>
      </c>
      <c r="F336" t="s">
        <v>629</v>
      </c>
      <c r="G336" t="s">
        <v>15</v>
      </c>
      <c r="H336">
        <v>13148109</v>
      </c>
      <c r="I336" t="s">
        <v>32</v>
      </c>
      <c r="J336">
        <v>6831</v>
      </c>
      <c r="K336" t="s">
        <v>630</v>
      </c>
      <c r="L336" t="str" cm="1">
        <f t="array" ref="L336">IF(SUMPRODUCT(COUNTIF(empresas_filtradas[[#This Row],[cnpj]:[email]],"*"&amp;#REF!&amp;"*"))&gt;0,"sim","não")</f>
        <v>não</v>
      </c>
      <c r="M336" t="s">
        <v>950</v>
      </c>
      <c r="N336" t="str">
        <f>_xlfn.XLOOKUP(empresas_filtradas[[#This Row],[cnpj]], empresas_identificadas_compleme!A:A, empresas_identificadas_compleme!B:B)</f>
        <v>talvez</v>
      </c>
      <c r="O336" t="str">
        <f>_xlfn.XLOOKUP(empresas_filtradas[[#This Row],[cnpj]], empresas_identificadas_compleme!A:A, empresas_identificadas_compleme!C:C)</f>
        <v>80km</v>
      </c>
    </row>
    <row r="337" spans="1:15" x14ac:dyDescent="0.25">
      <c r="A337">
        <v>11573041000193</v>
      </c>
      <c r="B337" t="s">
        <v>631</v>
      </c>
      <c r="C337">
        <v>2</v>
      </c>
      <c r="E337">
        <v>2014200</v>
      </c>
      <c r="F337" t="s">
        <v>632</v>
      </c>
      <c r="G337" t="s">
        <v>633</v>
      </c>
      <c r="H337">
        <v>58884000</v>
      </c>
      <c r="I337" t="s">
        <v>96</v>
      </c>
      <c r="J337">
        <v>1987</v>
      </c>
      <c r="K337" t="s">
        <v>634</v>
      </c>
      <c r="L337" t="str" cm="1">
        <f t="array" ref="L337">IF(SUMPRODUCT(COUNTIF(empresas_filtradas[[#This Row],[cnpj]:[email]],"*"&amp;#REF!&amp;"*"))&gt;0,"sim","não")</f>
        <v>não</v>
      </c>
      <c r="M337" t="s">
        <v>950</v>
      </c>
      <c r="N337" t="str">
        <f>_xlfn.XLOOKUP(empresas_filtradas[[#This Row],[cnpj]], empresas_identificadas_compleme!A:A, empresas_identificadas_compleme!B:B)</f>
        <v>talvez</v>
      </c>
      <c r="O337">
        <f>_xlfn.XLOOKUP(empresas_filtradas[[#This Row],[cnpj]], empresas_identificadas_compleme!A:A, empresas_identificadas_compleme!C:C)</f>
        <v>0</v>
      </c>
    </row>
    <row r="338" spans="1:15" hidden="1" x14ac:dyDescent="0.25">
      <c r="A338">
        <v>60619202004054</v>
      </c>
      <c r="B338" t="s">
        <v>21</v>
      </c>
      <c r="C338">
        <v>2</v>
      </c>
      <c r="E338">
        <v>2014200</v>
      </c>
      <c r="F338" t="s">
        <v>635</v>
      </c>
      <c r="G338" t="s">
        <v>636</v>
      </c>
      <c r="H338">
        <v>18685745</v>
      </c>
      <c r="I338" t="s">
        <v>32</v>
      </c>
      <c r="J338">
        <v>6637</v>
      </c>
      <c r="K338" t="s">
        <v>24</v>
      </c>
      <c r="L338" t="str" cm="1">
        <f t="array" ref="L338">IF(SUMPRODUCT(COUNTIF(empresas_filtradas[[#This Row],[cnpj]:[email]],"*"&amp;#REF!&amp;"*"))&gt;0,"sim","não")</f>
        <v>não</v>
      </c>
      <c r="M338" t="s">
        <v>726</v>
      </c>
      <c r="N338" t="str">
        <f>_xlfn.XLOOKUP(empresas_filtradas[[#This Row],[cnpj]], empresas_identificadas_compleme!A:A, empresas_identificadas_compleme!B:B)</f>
        <v>talvez</v>
      </c>
      <c r="O338" t="str">
        <f>_xlfn.XLOOKUP(empresas_filtradas[[#This Row],[cnpj]], empresas_identificadas_compleme!A:A, empresas_identificadas_compleme!C:C)</f>
        <v>CTF_APP</v>
      </c>
    </row>
    <row r="339" spans="1:15" x14ac:dyDescent="0.25">
      <c r="A339">
        <v>18168681000167</v>
      </c>
      <c r="B339" t="s">
        <v>15</v>
      </c>
      <c r="C339">
        <v>2</v>
      </c>
      <c r="D339">
        <v>573</v>
      </c>
      <c r="E339">
        <v>2014200</v>
      </c>
      <c r="F339" t="s">
        <v>16</v>
      </c>
      <c r="G339" t="s">
        <v>15</v>
      </c>
      <c r="I339" t="s">
        <v>53</v>
      </c>
      <c r="J339">
        <v>9707</v>
      </c>
      <c r="K339" t="s">
        <v>15</v>
      </c>
      <c r="L339" t="str" cm="1">
        <f t="array" ref="L339">IF(SUMPRODUCT(COUNTIF(empresas_filtradas[[#This Row],[cnpj]:[email]],"*"&amp;#REF!&amp;"*"))&gt;0,"sim","não")</f>
        <v>não</v>
      </c>
      <c r="M339" t="s">
        <v>950</v>
      </c>
      <c r="N339" t="e">
        <f>_xlfn.XLOOKUP(empresas_filtradas[[#This Row],[cnpj]], empresas_identificadas_compleme!A:A, empresas_identificadas_compleme!B:B)</f>
        <v>#N/A</v>
      </c>
      <c r="O339" t="e">
        <f>_xlfn.XLOOKUP(empresas_filtradas[[#This Row],[cnpj]], empresas_identificadas_compleme!A:A, empresas_identificadas_compleme!C:C)</f>
        <v>#N/A</v>
      </c>
    </row>
    <row r="340" spans="1:15" hidden="1" x14ac:dyDescent="0.25">
      <c r="A340" s="1">
        <v>24380578006462</v>
      </c>
      <c r="B340" t="s">
        <v>15</v>
      </c>
      <c r="C340">
        <v>2</v>
      </c>
      <c r="E340">
        <v>2014200</v>
      </c>
      <c r="F340" t="s">
        <v>16</v>
      </c>
      <c r="G340" t="s">
        <v>637</v>
      </c>
      <c r="H340">
        <v>55590000</v>
      </c>
      <c r="I340" t="s">
        <v>92</v>
      </c>
      <c r="J340">
        <v>2443</v>
      </c>
      <c r="K340" t="s">
        <v>33</v>
      </c>
      <c r="L340" t="str" cm="1">
        <f t="array" ref="L340">IF(SUMPRODUCT(COUNTIF(empresas_filtradas[[#This Row],[cnpj]:[email]],"*"&amp;#REF!&amp;"*"))&gt;0,"sim","não")</f>
        <v>não</v>
      </c>
      <c r="M340" t="s">
        <v>728</v>
      </c>
      <c r="N340" t="str">
        <f>_xlfn.XLOOKUP(empresas_filtradas[[#This Row],[cnpj]], empresas_identificadas_compleme!A:A, empresas_identificadas_compleme!B:B)</f>
        <v>talvez</v>
      </c>
      <c r="O340" t="str">
        <f>_xlfn.XLOOKUP(empresas_filtradas[[#This Row],[cnpj]], empresas_identificadas_compleme!A:A, empresas_identificadas_compleme!C:C)</f>
        <v>CTF_APP e 80km</v>
      </c>
    </row>
    <row r="341" spans="1:15" hidden="1" x14ac:dyDescent="0.25">
      <c r="A341">
        <v>17891872000190</v>
      </c>
      <c r="B341" t="s">
        <v>15</v>
      </c>
      <c r="C341">
        <v>2</v>
      </c>
      <c r="E341">
        <v>2014200</v>
      </c>
      <c r="F341" t="s">
        <v>16</v>
      </c>
      <c r="G341" t="s">
        <v>638</v>
      </c>
      <c r="H341">
        <v>62674000</v>
      </c>
      <c r="I341" t="s">
        <v>108</v>
      </c>
      <c r="J341">
        <v>1549</v>
      </c>
      <c r="K341" t="s">
        <v>247</v>
      </c>
      <c r="L341" t="str" cm="1">
        <f t="array" ref="L341">IF(SUMPRODUCT(COUNTIF(empresas_filtradas[[#This Row],[cnpj]:[email]],"*"&amp;#REF!&amp;"*"))&gt;0,"sim","não")</f>
        <v>não</v>
      </c>
      <c r="M341" t="s">
        <v>728</v>
      </c>
      <c r="N341" t="str">
        <f>_xlfn.XLOOKUP(empresas_filtradas[[#This Row],[cnpj]], empresas_identificadas_compleme!A:A, empresas_identificadas_compleme!B:B)</f>
        <v>talvez</v>
      </c>
      <c r="O341" t="str">
        <f>_xlfn.XLOOKUP(empresas_filtradas[[#This Row],[cnpj]], empresas_identificadas_compleme!A:A, empresas_identificadas_compleme!C:C)</f>
        <v>CTF_APP e 80km</v>
      </c>
    </row>
    <row r="342" spans="1:15" x14ac:dyDescent="0.25">
      <c r="A342">
        <v>33291611000195</v>
      </c>
      <c r="B342" t="s">
        <v>639</v>
      </c>
      <c r="C342">
        <v>2</v>
      </c>
      <c r="D342">
        <v>386</v>
      </c>
      <c r="E342">
        <v>2014200</v>
      </c>
      <c r="F342" t="s">
        <v>16</v>
      </c>
      <c r="G342" t="s">
        <v>640</v>
      </c>
      <c r="I342" t="s">
        <v>53</v>
      </c>
      <c r="J342">
        <v>9707</v>
      </c>
      <c r="K342" t="s">
        <v>641</v>
      </c>
      <c r="L342" t="str" cm="1">
        <f t="array" ref="L342">IF(SUMPRODUCT(COUNTIF(empresas_filtradas[[#This Row],[cnpj]:[email]],"*"&amp;#REF!&amp;"*"))&gt;0,"sim","não")</f>
        <v>não</v>
      </c>
      <c r="M342" t="s">
        <v>950</v>
      </c>
      <c r="N342" t="str">
        <f>_xlfn.XLOOKUP(empresas_filtradas[[#This Row],[cnpj]], empresas_identificadas_compleme!A:A, empresas_identificadas_compleme!B:B)</f>
        <v>talvez</v>
      </c>
      <c r="O342">
        <f>_xlfn.XLOOKUP(empresas_filtradas[[#This Row],[cnpj]], empresas_identificadas_compleme!A:A, empresas_identificadas_compleme!C:C)</f>
        <v>0</v>
      </c>
    </row>
    <row r="343" spans="1:15" x14ac:dyDescent="0.25">
      <c r="A343">
        <v>42293155000103</v>
      </c>
      <c r="B343" t="s">
        <v>642</v>
      </c>
      <c r="C343">
        <v>2</v>
      </c>
      <c r="E343">
        <v>2014200</v>
      </c>
      <c r="F343" t="s">
        <v>643</v>
      </c>
      <c r="G343" t="s">
        <v>15</v>
      </c>
      <c r="H343">
        <v>46880000</v>
      </c>
      <c r="I343" t="s">
        <v>60</v>
      </c>
      <c r="J343">
        <v>3595</v>
      </c>
      <c r="K343" t="s">
        <v>644</v>
      </c>
      <c r="L343" t="str" cm="1">
        <f t="array" ref="L343">IF(SUMPRODUCT(COUNTIF(empresas_filtradas[[#This Row],[cnpj]:[email]],"*"&amp;#REF!&amp;"*"))&gt;0,"sim","não")</f>
        <v>não</v>
      </c>
      <c r="M343" t="s">
        <v>950</v>
      </c>
      <c r="N343" t="e">
        <f>_xlfn.XLOOKUP(empresas_filtradas[[#This Row],[cnpj]], empresas_identificadas_compleme!A:A, empresas_identificadas_compleme!B:B)</f>
        <v>#N/A</v>
      </c>
      <c r="O343" t="e">
        <f>_xlfn.XLOOKUP(empresas_filtradas[[#This Row],[cnpj]], empresas_identificadas_compleme!A:A, empresas_identificadas_compleme!C:C)</f>
        <v>#N/A</v>
      </c>
    </row>
    <row r="344" spans="1:15" hidden="1" x14ac:dyDescent="0.25">
      <c r="A344">
        <v>74481011000843</v>
      </c>
      <c r="B344" t="s">
        <v>15</v>
      </c>
      <c r="C344">
        <v>2</v>
      </c>
      <c r="E344">
        <v>2014200</v>
      </c>
      <c r="F344" t="s">
        <v>645</v>
      </c>
      <c r="G344" t="s">
        <v>646</v>
      </c>
      <c r="H344">
        <v>92420360</v>
      </c>
      <c r="I344" t="s">
        <v>117</v>
      </c>
      <c r="J344">
        <v>8589</v>
      </c>
      <c r="K344" t="s">
        <v>155</v>
      </c>
      <c r="L344" t="str" cm="1">
        <f t="array" ref="L344">IF(SUMPRODUCT(COUNTIF(empresas_filtradas[[#This Row],[cnpj]:[email]],"*"&amp;#REF!&amp;"*"))&gt;0,"sim","não")</f>
        <v>não</v>
      </c>
      <c r="M344" t="s">
        <v>951</v>
      </c>
      <c r="N344" t="str">
        <f>_xlfn.XLOOKUP(empresas_filtradas[[#This Row],[cnpj]], empresas_identificadas_compleme!A:A, empresas_identificadas_compleme!B:B)</f>
        <v>talvez</v>
      </c>
      <c r="O344" t="str">
        <f>_xlfn.XLOOKUP(empresas_filtradas[[#This Row],[cnpj]], empresas_identificadas_compleme!A:A, empresas_identificadas_compleme!C:C)</f>
        <v>CTF_APP e 80km</v>
      </c>
    </row>
    <row r="345" spans="1:15" hidden="1" x14ac:dyDescent="0.25">
      <c r="A345" s="1">
        <v>49596047000159</v>
      </c>
      <c r="B345" t="s">
        <v>647</v>
      </c>
      <c r="C345">
        <v>2</v>
      </c>
      <c r="D345">
        <v>105</v>
      </c>
      <c r="E345">
        <v>2014200</v>
      </c>
      <c r="F345" t="s">
        <v>648</v>
      </c>
      <c r="G345" t="s">
        <v>649</v>
      </c>
      <c r="H345">
        <v>60192200</v>
      </c>
      <c r="I345" t="s">
        <v>108</v>
      </c>
      <c r="J345">
        <v>1389</v>
      </c>
      <c r="K345" t="s">
        <v>650</v>
      </c>
      <c r="L345" t="str" cm="1">
        <f t="array" ref="L345">IF(SUMPRODUCT(COUNTIF(empresas_filtradas[[#This Row],[cnpj]:[email]],"*"&amp;#REF!&amp;"*"))&gt;0,"sim","não")</f>
        <v>não</v>
      </c>
      <c r="M345" t="s">
        <v>952</v>
      </c>
      <c r="N345" t="str">
        <f>_xlfn.XLOOKUP(empresas_filtradas[[#This Row],[cnpj]], empresas_identificadas_compleme!A:A, empresas_identificadas_compleme!B:B)</f>
        <v>talvez</v>
      </c>
      <c r="O345" t="str">
        <f>_xlfn.XLOOKUP(empresas_filtradas[[#This Row],[cnpj]], empresas_identificadas_compleme!A:A, empresas_identificadas_compleme!C:C)</f>
        <v>80km</v>
      </c>
    </row>
    <row r="346" spans="1:15" x14ac:dyDescent="0.25">
      <c r="A346" s="1">
        <v>66358979000425</v>
      </c>
      <c r="B346" t="s">
        <v>15</v>
      </c>
      <c r="C346">
        <v>2</v>
      </c>
      <c r="E346">
        <v>2014200</v>
      </c>
      <c r="F346" t="s">
        <v>651</v>
      </c>
      <c r="G346" t="s">
        <v>15</v>
      </c>
      <c r="H346">
        <v>39402194</v>
      </c>
      <c r="I346" t="s">
        <v>17</v>
      </c>
      <c r="J346">
        <v>4865</v>
      </c>
      <c r="K346" t="s">
        <v>257</v>
      </c>
      <c r="L346" t="str" cm="1">
        <f t="array" ref="L346">IF(SUMPRODUCT(COUNTIF(empresas_filtradas[[#This Row],[cnpj]:[email]],"*"&amp;#REF!&amp;"*"))&gt;0,"sim","não")</f>
        <v>não</v>
      </c>
      <c r="M346" t="s">
        <v>950</v>
      </c>
      <c r="N346" t="str">
        <f>_xlfn.XLOOKUP(empresas_filtradas[[#This Row],[cnpj]], empresas_identificadas_compleme!A:A, empresas_identificadas_compleme!B:B)</f>
        <v>talvez</v>
      </c>
      <c r="O346" t="str">
        <f>_xlfn.XLOOKUP(empresas_filtradas[[#This Row],[cnpj]], empresas_identificadas_compleme!A:A, empresas_identificadas_compleme!C:C)</f>
        <v>CTF_APP</v>
      </c>
    </row>
    <row r="347" spans="1:15" x14ac:dyDescent="0.25">
      <c r="A347">
        <v>51976712000181</v>
      </c>
      <c r="B347" t="s">
        <v>652</v>
      </c>
      <c r="C347">
        <v>2</v>
      </c>
      <c r="D347">
        <v>105</v>
      </c>
      <c r="E347">
        <v>2014200</v>
      </c>
      <c r="F347" t="s">
        <v>653</v>
      </c>
      <c r="G347" t="s">
        <v>15</v>
      </c>
      <c r="H347">
        <v>83413740</v>
      </c>
      <c r="I347" t="s">
        <v>45</v>
      </c>
      <c r="J347">
        <v>7513</v>
      </c>
      <c r="K347" t="s">
        <v>654</v>
      </c>
      <c r="L347" t="str" cm="1">
        <f t="array" ref="L347">IF(SUMPRODUCT(COUNTIF(empresas_filtradas[[#This Row],[cnpj]:[email]],"*"&amp;#REF!&amp;"*"))&gt;0,"sim","não")</f>
        <v>não</v>
      </c>
      <c r="M347" t="s">
        <v>950</v>
      </c>
      <c r="N347" t="e">
        <f>_xlfn.XLOOKUP(empresas_filtradas[[#This Row],[cnpj]], empresas_identificadas_compleme!A:A, empresas_identificadas_compleme!B:B)</f>
        <v>#N/A</v>
      </c>
      <c r="O347" t="e">
        <f>_xlfn.XLOOKUP(empresas_filtradas[[#This Row],[cnpj]], empresas_identificadas_compleme!A:A, empresas_identificadas_compleme!C:C)</f>
        <v>#N/A</v>
      </c>
    </row>
    <row r="348" spans="1:15" hidden="1" x14ac:dyDescent="0.25">
      <c r="A348">
        <v>67423152001905</v>
      </c>
      <c r="B348" t="s">
        <v>15</v>
      </c>
      <c r="C348">
        <v>2</v>
      </c>
      <c r="E348">
        <v>2014200</v>
      </c>
      <c r="F348" t="s">
        <v>196</v>
      </c>
      <c r="G348" t="s">
        <v>655</v>
      </c>
      <c r="H348">
        <v>75132135</v>
      </c>
      <c r="I348" t="s">
        <v>173</v>
      </c>
      <c r="J348">
        <v>9221</v>
      </c>
      <c r="K348" t="s">
        <v>129</v>
      </c>
      <c r="L348" t="str" cm="1">
        <f t="array" ref="L348">IF(SUMPRODUCT(COUNTIF(empresas_filtradas[[#This Row],[cnpj]:[email]],"*"&amp;#REF!&amp;"*"))&gt;0,"sim","não")</f>
        <v>não</v>
      </c>
      <c r="M348" t="s">
        <v>951</v>
      </c>
      <c r="N348" t="str">
        <f>_xlfn.XLOOKUP(empresas_filtradas[[#This Row],[cnpj]], empresas_identificadas_compleme!A:A, empresas_identificadas_compleme!B:B)</f>
        <v>talvez</v>
      </c>
      <c r="O348">
        <f>_xlfn.XLOOKUP(empresas_filtradas[[#This Row],[cnpj]], empresas_identificadas_compleme!A:A, empresas_identificadas_compleme!C:C)</f>
        <v>0</v>
      </c>
    </row>
    <row r="349" spans="1:15" hidden="1" x14ac:dyDescent="0.25">
      <c r="A349" s="1">
        <v>64025306000185</v>
      </c>
      <c r="B349" t="s">
        <v>656</v>
      </c>
      <c r="C349">
        <v>2</v>
      </c>
      <c r="E349">
        <v>2014200</v>
      </c>
      <c r="F349" t="s">
        <v>657</v>
      </c>
      <c r="G349" t="s">
        <v>658</v>
      </c>
      <c r="H349">
        <v>67120136</v>
      </c>
      <c r="I349" t="s">
        <v>78</v>
      </c>
      <c r="J349">
        <v>415</v>
      </c>
      <c r="K349" t="s">
        <v>297</v>
      </c>
      <c r="L349" t="str" cm="1">
        <f t="array" ref="L349">IF(SUMPRODUCT(COUNTIF(empresas_filtradas[[#This Row],[cnpj]:[email]],"*"&amp;#REF!&amp;"*"))&gt;0,"sim","não")</f>
        <v>não</v>
      </c>
      <c r="M349" t="s">
        <v>951</v>
      </c>
      <c r="N349" t="str">
        <f>_xlfn.XLOOKUP(empresas_filtradas[[#This Row],[cnpj]], empresas_identificadas_compleme!A:A, empresas_identificadas_compleme!B:B)</f>
        <v>talvez</v>
      </c>
      <c r="O349" t="str">
        <f>_xlfn.XLOOKUP(empresas_filtradas[[#This Row],[cnpj]], empresas_identificadas_compleme!A:A, empresas_identificadas_compleme!C:C)</f>
        <v>80km</v>
      </c>
    </row>
    <row r="350" spans="1:15" hidden="1" x14ac:dyDescent="0.25">
      <c r="A350">
        <v>331788003053</v>
      </c>
      <c r="B350" t="s">
        <v>38</v>
      </c>
      <c r="C350">
        <v>2</v>
      </c>
      <c r="E350">
        <v>2014200</v>
      </c>
      <c r="F350" t="s">
        <v>659</v>
      </c>
      <c r="G350" t="s">
        <v>15</v>
      </c>
      <c r="H350">
        <v>37701387</v>
      </c>
      <c r="I350" t="s">
        <v>17</v>
      </c>
      <c r="J350">
        <v>5035</v>
      </c>
      <c r="K350" t="s">
        <v>28</v>
      </c>
      <c r="L350" t="str" cm="1">
        <f t="array" ref="L350">IF(SUMPRODUCT(COUNTIF(empresas_filtradas[[#This Row],[cnpj]:[email]],"*"&amp;#REF!&amp;"*"))&gt;0,"sim","não")</f>
        <v>não</v>
      </c>
      <c r="M350" t="s">
        <v>727</v>
      </c>
      <c r="N350" t="str">
        <f>_xlfn.XLOOKUP(empresas_filtradas[[#This Row],[cnpj]], empresas_identificadas_compleme!A:A, empresas_identificadas_compleme!B:B)</f>
        <v>talvez</v>
      </c>
      <c r="O350" t="str">
        <f>_xlfn.XLOOKUP(empresas_filtradas[[#This Row],[cnpj]], empresas_identificadas_compleme!A:A, empresas_identificadas_compleme!C:C)</f>
        <v>CTF_APP</v>
      </c>
    </row>
    <row r="351" spans="1:15" hidden="1" x14ac:dyDescent="0.25">
      <c r="A351">
        <v>331788004025</v>
      </c>
      <c r="B351" t="s">
        <v>15</v>
      </c>
      <c r="C351">
        <v>2</v>
      </c>
      <c r="E351">
        <v>2014200</v>
      </c>
      <c r="F351" t="s">
        <v>660</v>
      </c>
      <c r="G351" t="s">
        <v>661</v>
      </c>
      <c r="H351">
        <v>27977335</v>
      </c>
      <c r="I351" t="s">
        <v>27</v>
      </c>
      <c r="J351">
        <v>5847</v>
      </c>
      <c r="K351" t="s">
        <v>28</v>
      </c>
      <c r="L351" t="str" cm="1">
        <f t="array" ref="L351">IF(SUMPRODUCT(COUNTIF(empresas_filtradas[[#This Row],[cnpj]:[email]],"*"&amp;#REF!&amp;"*"))&gt;0,"sim","não")</f>
        <v>não</v>
      </c>
      <c r="M351" t="s">
        <v>727</v>
      </c>
      <c r="N351" t="str">
        <f>_xlfn.XLOOKUP(empresas_filtradas[[#This Row],[cnpj]], empresas_identificadas_compleme!A:A, empresas_identificadas_compleme!B:B)</f>
        <v>talvez</v>
      </c>
      <c r="O351" t="str">
        <f>_xlfn.XLOOKUP(empresas_filtradas[[#This Row],[cnpj]], empresas_identificadas_compleme!A:A, empresas_identificadas_compleme!C:C)</f>
        <v>80km</v>
      </c>
    </row>
    <row r="352" spans="1:15" hidden="1" x14ac:dyDescent="0.25">
      <c r="A352">
        <v>24380578002556</v>
      </c>
      <c r="B352" t="s">
        <v>15</v>
      </c>
      <c r="C352">
        <v>2</v>
      </c>
      <c r="E352">
        <v>2014200</v>
      </c>
      <c r="F352" t="s">
        <v>662</v>
      </c>
      <c r="G352" t="s">
        <v>15</v>
      </c>
      <c r="H352">
        <v>59146480</v>
      </c>
      <c r="I352" t="s">
        <v>71</v>
      </c>
      <c r="J352">
        <v>1779</v>
      </c>
      <c r="K352" t="s">
        <v>663</v>
      </c>
      <c r="L352" t="str" cm="1">
        <f t="array" ref="L352">IF(SUMPRODUCT(COUNTIF(empresas_filtradas[[#This Row],[cnpj]:[email]],"*"&amp;#REF!&amp;"*"))&gt;0,"sim","não")</f>
        <v>não</v>
      </c>
      <c r="M352" t="s">
        <v>727</v>
      </c>
      <c r="N352" t="str">
        <f>_xlfn.XLOOKUP(empresas_filtradas[[#This Row],[cnpj]], empresas_identificadas_compleme!A:A, empresas_identificadas_compleme!B:B)</f>
        <v>talvez</v>
      </c>
      <c r="O352" t="str">
        <f>_xlfn.XLOOKUP(empresas_filtradas[[#This Row],[cnpj]], empresas_identificadas_compleme!A:A, empresas_identificadas_compleme!C:C)</f>
        <v>CTF_APP</v>
      </c>
    </row>
    <row r="353" spans="1:15" hidden="1" x14ac:dyDescent="0.25">
      <c r="A353" s="1">
        <v>24380578004923</v>
      </c>
      <c r="B353" t="s">
        <v>15</v>
      </c>
      <c r="C353">
        <v>2</v>
      </c>
      <c r="E353">
        <v>2014200</v>
      </c>
      <c r="F353" t="s">
        <v>544</v>
      </c>
      <c r="G353" t="s">
        <v>15</v>
      </c>
      <c r="H353">
        <v>61939120</v>
      </c>
      <c r="I353" t="s">
        <v>108</v>
      </c>
      <c r="J353">
        <v>1585</v>
      </c>
      <c r="K353" t="s">
        <v>33</v>
      </c>
      <c r="L353" t="str" cm="1">
        <f t="array" ref="L353">IF(SUMPRODUCT(COUNTIF(empresas_filtradas[[#This Row],[cnpj]:[email]],"*"&amp;#REF!&amp;"*"))&gt;0,"sim","não")</f>
        <v>não</v>
      </c>
      <c r="M353" t="s">
        <v>728</v>
      </c>
      <c r="N353" t="str">
        <f>_xlfn.XLOOKUP(empresas_filtradas[[#This Row],[cnpj]], empresas_identificadas_compleme!A:A, empresas_identificadas_compleme!B:B)</f>
        <v>talvez</v>
      </c>
      <c r="O353" t="str">
        <f>_xlfn.XLOOKUP(empresas_filtradas[[#This Row],[cnpj]], empresas_identificadas_compleme!A:A, empresas_identificadas_compleme!C:C)</f>
        <v>CTF_APP e 80km</v>
      </c>
    </row>
    <row r="354" spans="1:15" hidden="1" x14ac:dyDescent="0.25">
      <c r="A354" s="1">
        <v>35820448016806</v>
      </c>
      <c r="B354" t="s">
        <v>15</v>
      </c>
      <c r="C354">
        <v>2</v>
      </c>
      <c r="E354">
        <v>2014200</v>
      </c>
      <c r="F354" t="s">
        <v>16</v>
      </c>
      <c r="G354" t="s">
        <v>15</v>
      </c>
      <c r="H354">
        <v>11535200</v>
      </c>
      <c r="I354" t="s">
        <v>32</v>
      </c>
      <c r="J354">
        <v>6371</v>
      </c>
      <c r="K354" t="s">
        <v>33</v>
      </c>
      <c r="L354" t="str" cm="1">
        <f t="array" ref="L354">IF(SUMPRODUCT(COUNTIF(empresas_filtradas[[#This Row],[cnpj]:[email]],"*"&amp;#REF!&amp;"*"))&gt;0,"sim","não")</f>
        <v>não</v>
      </c>
      <c r="M354" t="s">
        <v>728</v>
      </c>
      <c r="N354" t="str">
        <f>_xlfn.XLOOKUP(empresas_filtradas[[#This Row],[cnpj]], empresas_identificadas_compleme!A:A, empresas_identificadas_compleme!B:B)</f>
        <v>talvez</v>
      </c>
      <c r="O354" t="str">
        <f>_xlfn.XLOOKUP(empresas_filtradas[[#This Row],[cnpj]], empresas_identificadas_compleme!A:A, empresas_identificadas_compleme!C:C)</f>
        <v>CTF_APP e 80km</v>
      </c>
    </row>
    <row r="355" spans="1:15" hidden="1" x14ac:dyDescent="0.25">
      <c r="A355">
        <v>43843358000865</v>
      </c>
      <c r="B355" t="s">
        <v>15</v>
      </c>
      <c r="C355">
        <v>2</v>
      </c>
      <c r="E355">
        <v>2014200</v>
      </c>
      <c r="F355" t="s">
        <v>321</v>
      </c>
      <c r="G355" t="s">
        <v>15</v>
      </c>
      <c r="H355">
        <v>92703460</v>
      </c>
      <c r="I355" t="s">
        <v>117</v>
      </c>
      <c r="J355">
        <v>8685</v>
      </c>
      <c r="K355" t="s">
        <v>37</v>
      </c>
      <c r="L355" t="str" cm="1">
        <f t="array" ref="L355">IF(SUMPRODUCT(COUNTIF(empresas_filtradas[[#This Row],[cnpj]:[email]],"*"&amp;#REF!&amp;"*"))&gt;0,"sim","não")</f>
        <v>não</v>
      </c>
      <c r="M355" t="s">
        <v>728</v>
      </c>
      <c r="N355" t="str">
        <f>_xlfn.XLOOKUP(empresas_filtradas[[#This Row],[cnpj]], empresas_identificadas_compleme!A:A, empresas_identificadas_compleme!B:B)</f>
        <v>talvez</v>
      </c>
      <c r="O355" t="str">
        <f>_xlfn.XLOOKUP(empresas_filtradas[[#This Row],[cnpj]], empresas_identificadas_compleme!A:A, empresas_identificadas_compleme!C:C)</f>
        <v>CTF_APP e 80km</v>
      </c>
    </row>
    <row r="356" spans="1:15" hidden="1" x14ac:dyDescent="0.25">
      <c r="A356">
        <v>331788004297</v>
      </c>
      <c r="B356" t="s">
        <v>15</v>
      </c>
      <c r="C356">
        <v>2</v>
      </c>
      <c r="E356">
        <v>2014200</v>
      </c>
      <c r="F356" t="s">
        <v>16</v>
      </c>
      <c r="G356" t="s">
        <v>664</v>
      </c>
      <c r="H356">
        <v>9154900</v>
      </c>
      <c r="I356" t="s">
        <v>32</v>
      </c>
      <c r="J356">
        <v>7057</v>
      </c>
      <c r="K356" t="s">
        <v>28</v>
      </c>
      <c r="L356" t="str" cm="1">
        <f t="array" ref="L356">IF(SUMPRODUCT(COUNTIF(empresas_filtradas[[#This Row],[cnpj]:[email]],"*"&amp;#REF!&amp;"*"))&gt;0,"sim","não")</f>
        <v>não</v>
      </c>
      <c r="M356" t="s">
        <v>728</v>
      </c>
      <c r="N356" t="str">
        <f>_xlfn.XLOOKUP(empresas_filtradas[[#This Row],[cnpj]], empresas_identificadas_compleme!A:A, empresas_identificadas_compleme!B:B)</f>
        <v>talvez</v>
      </c>
      <c r="O356" t="str">
        <f>_xlfn.XLOOKUP(empresas_filtradas[[#This Row],[cnpj]], empresas_identificadas_compleme!A:A, empresas_identificadas_compleme!C:C)</f>
        <v>CTF_APP e 80km</v>
      </c>
    </row>
    <row r="357" spans="1:15" hidden="1" x14ac:dyDescent="0.25">
      <c r="A357">
        <v>60619202006502</v>
      </c>
      <c r="B357" t="s">
        <v>21</v>
      </c>
      <c r="C357">
        <v>2</v>
      </c>
      <c r="E357">
        <v>2014200</v>
      </c>
      <c r="F357" t="s">
        <v>16</v>
      </c>
      <c r="G357" t="s">
        <v>665</v>
      </c>
      <c r="H357">
        <v>23565000</v>
      </c>
      <c r="I357" t="s">
        <v>27</v>
      </c>
      <c r="J357">
        <v>6001</v>
      </c>
      <c r="K357" t="s">
        <v>24</v>
      </c>
      <c r="L357" t="str" cm="1">
        <f t="array" ref="L357">IF(SUMPRODUCT(COUNTIF(empresas_filtradas[[#This Row],[cnpj]:[email]],"*"&amp;#REF!&amp;"*"))&gt;0,"sim","não")</f>
        <v>não</v>
      </c>
      <c r="M357" t="s">
        <v>728</v>
      </c>
      <c r="N357" t="str">
        <f>_xlfn.XLOOKUP(empresas_filtradas[[#This Row],[cnpj]], empresas_identificadas_compleme!A:A, empresas_identificadas_compleme!B:B)</f>
        <v>talvez</v>
      </c>
      <c r="O357" t="str">
        <f>_xlfn.XLOOKUP(empresas_filtradas[[#This Row],[cnpj]], empresas_identificadas_compleme!A:A, empresas_identificadas_compleme!C:C)</f>
        <v>CTF_APP e 80km</v>
      </c>
    </row>
    <row r="358" spans="1:15" hidden="1" x14ac:dyDescent="0.25">
      <c r="A358">
        <v>67423152000410</v>
      </c>
      <c r="B358" t="s">
        <v>15</v>
      </c>
      <c r="C358">
        <v>2</v>
      </c>
      <c r="E358">
        <v>2014200</v>
      </c>
      <c r="F358" t="s">
        <v>666</v>
      </c>
      <c r="G358" t="s">
        <v>15</v>
      </c>
      <c r="H358">
        <v>30664030</v>
      </c>
      <c r="I358" t="s">
        <v>17</v>
      </c>
      <c r="J358">
        <v>4123</v>
      </c>
      <c r="K358" t="s">
        <v>667</v>
      </c>
      <c r="L358" t="str" cm="1">
        <f t="array" ref="L358">IF(SUMPRODUCT(COUNTIF(empresas_filtradas[[#This Row],[cnpj]:[email]],"*"&amp;#REF!&amp;"*"))&gt;0,"sim","não")</f>
        <v>não</v>
      </c>
      <c r="M358" t="s">
        <v>951</v>
      </c>
      <c r="N358" t="str">
        <f>_xlfn.XLOOKUP(empresas_filtradas[[#This Row],[cnpj]], empresas_identificadas_compleme!A:A, empresas_identificadas_compleme!B:B)</f>
        <v>talvez</v>
      </c>
      <c r="O358" t="str">
        <f>_xlfn.XLOOKUP(empresas_filtradas[[#This Row],[cnpj]], empresas_identificadas_compleme!A:A, empresas_identificadas_compleme!C:C)</f>
        <v>80km</v>
      </c>
    </row>
    <row r="359" spans="1:15" hidden="1" x14ac:dyDescent="0.25">
      <c r="A359">
        <v>67423152000925</v>
      </c>
      <c r="B359" t="s">
        <v>668</v>
      </c>
      <c r="C359">
        <v>2</v>
      </c>
      <c r="E359">
        <v>2014200</v>
      </c>
      <c r="F359" t="s">
        <v>16</v>
      </c>
      <c r="G359" t="s">
        <v>669</v>
      </c>
      <c r="H359">
        <v>29161418</v>
      </c>
      <c r="I359" t="s">
        <v>49</v>
      </c>
      <c r="J359">
        <v>5699</v>
      </c>
      <c r="K359" t="s">
        <v>670</v>
      </c>
      <c r="L359" t="str" cm="1">
        <f t="array" ref="L359">IF(SUMPRODUCT(COUNTIF(empresas_filtradas[[#This Row],[cnpj]:[email]],"*"&amp;#REF!&amp;"*"))&gt;0,"sim","não")</f>
        <v>não</v>
      </c>
      <c r="M359" t="s">
        <v>951</v>
      </c>
      <c r="N359" t="str">
        <f>_xlfn.XLOOKUP(empresas_filtradas[[#This Row],[cnpj]], empresas_identificadas_compleme!A:A, empresas_identificadas_compleme!B:B)</f>
        <v>talvez</v>
      </c>
      <c r="O359" t="str">
        <f>_xlfn.XLOOKUP(empresas_filtradas[[#This Row],[cnpj]], empresas_identificadas_compleme!A:A, empresas_identificadas_compleme!C:C)</f>
        <v>CTF_APP e 80km</v>
      </c>
    </row>
    <row r="360" spans="1:15" hidden="1" x14ac:dyDescent="0.25">
      <c r="A360">
        <v>72819618000199</v>
      </c>
      <c r="B360" t="s">
        <v>15</v>
      </c>
      <c r="C360">
        <v>2</v>
      </c>
      <c r="E360">
        <v>2014200</v>
      </c>
      <c r="F360" t="s">
        <v>183</v>
      </c>
      <c r="G360" t="s">
        <v>15</v>
      </c>
      <c r="H360">
        <v>9852070</v>
      </c>
      <c r="I360" t="s">
        <v>32</v>
      </c>
      <c r="J360">
        <v>7075</v>
      </c>
      <c r="K360" t="s">
        <v>671</v>
      </c>
      <c r="L360" t="str" cm="1">
        <f t="array" ref="L360">IF(SUMPRODUCT(COUNTIF(empresas_filtradas[[#This Row],[cnpj]:[email]],"*"&amp;#REF!&amp;"*"))&gt;0,"sim","não")</f>
        <v>não</v>
      </c>
      <c r="M360" t="s">
        <v>728</v>
      </c>
      <c r="N360" t="str">
        <f>_xlfn.XLOOKUP(empresas_filtradas[[#This Row],[cnpj]], empresas_identificadas_compleme!A:A, empresas_identificadas_compleme!B:B)</f>
        <v>talvez</v>
      </c>
      <c r="O360" t="str">
        <f>_xlfn.XLOOKUP(empresas_filtradas[[#This Row],[cnpj]], empresas_identificadas_compleme!A:A, empresas_identificadas_compleme!C:C)</f>
        <v>CTF_APP e 80km</v>
      </c>
    </row>
    <row r="361" spans="1:15" x14ac:dyDescent="0.25">
      <c r="A361">
        <v>7638434000160</v>
      </c>
      <c r="B361" t="s">
        <v>672</v>
      </c>
      <c r="C361">
        <v>2</v>
      </c>
      <c r="D361">
        <v>249</v>
      </c>
      <c r="E361">
        <v>2014200</v>
      </c>
      <c r="F361" t="s">
        <v>673</v>
      </c>
      <c r="G361" t="s">
        <v>674</v>
      </c>
      <c r="I361" t="s">
        <v>53</v>
      </c>
      <c r="J361">
        <v>9707</v>
      </c>
      <c r="K361" t="s">
        <v>675</v>
      </c>
      <c r="L361" t="str" cm="1">
        <f t="array" ref="L361">IF(SUMPRODUCT(COUNTIF(empresas_filtradas[[#This Row],[cnpj]:[email]],"*"&amp;#REF!&amp;"*"))&gt;0,"sim","não")</f>
        <v>não</v>
      </c>
      <c r="M361" t="s">
        <v>950</v>
      </c>
      <c r="N361" t="e">
        <f>_xlfn.XLOOKUP(empresas_filtradas[[#This Row],[cnpj]], empresas_identificadas_compleme!A:A, empresas_identificadas_compleme!B:B)</f>
        <v>#N/A</v>
      </c>
      <c r="O361" t="e">
        <f>_xlfn.XLOOKUP(empresas_filtradas[[#This Row],[cnpj]], empresas_identificadas_compleme!A:A, empresas_identificadas_compleme!C:C)</f>
        <v>#N/A</v>
      </c>
    </row>
    <row r="362" spans="1:15" hidden="1" x14ac:dyDescent="0.25">
      <c r="A362" s="1">
        <v>35820448010522</v>
      </c>
      <c r="B362" t="s">
        <v>15</v>
      </c>
      <c r="C362">
        <v>2</v>
      </c>
      <c r="E362">
        <v>2014200</v>
      </c>
      <c r="F362" t="s">
        <v>16</v>
      </c>
      <c r="G362" t="s">
        <v>676</v>
      </c>
      <c r="H362">
        <v>12283510</v>
      </c>
      <c r="I362" t="s">
        <v>32</v>
      </c>
      <c r="J362">
        <v>6271</v>
      </c>
      <c r="K362" t="s">
        <v>33</v>
      </c>
      <c r="L362" t="str" cm="1">
        <f t="array" ref="L362">IF(SUMPRODUCT(COUNTIF(empresas_filtradas[[#This Row],[cnpj]:[email]],"*"&amp;#REF!&amp;"*"))&gt;0,"sim","não")</f>
        <v>não</v>
      </c>
      <c r="M362" t="s">
        <v>728</v>
      </c>
      <c r="N362" t="str">
        <f>_xlfn.XLOOKUP(empresas_filtradas[[#This Row],[cnpj]], empresas_identificadas_compleme!A:A, empresas_identificadas_compleme!B:B)</f>
        <v>talvez</v>
      </c>
      <c r="O362" t="str">
        <f>_xlfn.XLOOKUP(empresas_filtradas[[#This Row],[cnpj]], empresas_identificadas_compleme!A:A, empresas_identificadas_compleme!C:C)</f>
        <v>CTF_APP e 80km</v>
      </c>
    </row>
    <row r="363" spans="1:15" hidden="1" x14ac:dyDescent="0.25">
      <c r="A363">
        <v>60619202005107</v>
      </c>
      <c r="B363" t="s">
        <v>21</v>
      </c>
      <c r="C363">
        <v>2</v>
      </c>
      <c r="E363">
        <v>2014200</v>
      </c>
      <c r="F363" t="s">
        <v>677</v>
      </c>
      <c r="G363" t="s">
        <v>15</v>
      </c>
      <c r="H363">
        <v>89015400</v>
      </c>
      <c r="I363" t="s">
        <v>65</v>
      </c>
      <c r="J363">
        <v>8047</v>
      </c>
      <c r="K363" t="s">
        <v>24</v>
      </c>
      <c r="L363" t="str" cm="1">
        <f t="array" ref="L363">IF(SUMPRODUCT(COUNTIF(empresas_filtradas[[#This Row],[cnpj]:[email]],"*"&amp;#REF!&amp;"*"))&gt;0,"sim","não")</f>
        <v>não</v>
      </c>
      <c r="M363" t="s">
        <v>727</v>
      </c>
      <c r="N363" t="str">
        <f>_xlfn.XLOOKUP(empresas_filtradas[[#This Row],[cnpj]], empresas_identificadas_compleme!A:A, empresas_identificadas_compleme!B:B)</f>
        <v>talvez</v>
      </c>
      <c r="O363" t="str">
        <f>_xlfn.XLOOKUP(empresas_filtradas[[#This Row],[cnpj]], empresas_identificadas_compleme!A:A, empresas_identificadas_compleme!C:C)</f>
        <v>CTF_APP</v>
      </c>
    </row>
    <row r="364" spans="1:15" x14ac:dyDescent="0.25">
      <c r="A364">
        <v>11990559000122</v>
      </c>
      <c r="B364" t="s">
        <v>678</v>
      </c>
      <c r="C364">
        <v>2</v>
      </c>
      <c r="E364">
        <v>2014200</v>
      </c>
      <c r="F364" t="s">
        <v>679</v>
      </c>
      <c r="G364" t="s">
        <v>680</v>
      </c>
      <c r="H364">
        <v>99010101</v>
      </c>
      <c r="I364" t="s">
        <v>117</v>
      </c>
      <c r="J364">
        <v>8785</v>
      </c>
      <c r="K364" t="s">
        <v>681</v>
      </c>
      <c r="L364" t="str" cm="1">
        <f t="array" ref="L364">IF(SUMPRODUCT(COUNTIF(empresas_filtradas[[#This Row],[cnpj]:[email]],"*"&amp;#REF!&amp;"*"))&gt;0,"sim","não")</f>
        <v>não</v>
      </c>
      <c r="M364" t="s">
        <v>950</v>
      </c>
      <c r="N364" t="str">
        <f>_xlfn.XLOOKUP(empresas_filtradas[[#This Row],[cnpj]], empresas_identificadas_compleme!A:A, empresas_identificadas_compleme!B:B)</f>
        <v>produz_h2</v>
      </c>
      <c r="O364">
        <f>_xlfn.XLOOKUP(empresas_filtradas[[#This Row],[cnpj]], empresas_identificadas_compleme!A:A, empresas_identificadas_compleme!C:C)</f>
        <v>0</v>
      </c>
    </row>
    <row r="365" spans="1:15" hidden="1" x14ac:dyDescent="0.25">
      <c r="A365">
        <v>331788005501</v>
      </c>
      <c r="B365" t="s">
        <v>38</v>
      </c>
      <c r="C365">
        <v>2</v>
      </c>
      <c r="E365">
        <v>2014200</v>
      </c>
      <c r="F365" t="s">
        <v>118</v>
      </c>
      <c r="G365" t="s">
        <v>15</v>
      </c>
      <c r="H365">
        <v>95720000</v>
      </c>
      <c r="I365" t="s">
        <v>117</v>
      </c>
      <c r="J365">
        <v>8669</v>
      </c>
      <c r="K365" t="s">
        <v>28</v>
      </c>
      <c r="L365" t="str" cm="1">
        <f t="array" ref="L365">IF(SUMPRODUCT(COUNTIF(empresas_filtradas[[#This Row],[cnpj]:[email]],"*"&amp;#REF!&amp;"*"))&gt;0,"sim","não")</f>
        <v>não</v>
      </c>
      <c r="M365" t="s">
        <v>728</v>
      </c>
      <c r="N365" t="str">
        <f>_xlfn.XLOOKUP(empresas_filtradas[[#This Row],[cnpj]], empresas_identificadas_compleme!A:A, empresas_identificadas_compleme!B:B)</f>
        <v>talvez</v>
      </c>
      <c r="O365" t="str">
        <f>_xlfn.XLOOKUP(empresas_filtradas[[#This Row],[cnpj]], empresas_identificadas_compleme!A:A, empresas_identificadas_compleme!C:C)</f>
        <v>CTF_APP e 80km</v>
      </c>
    </row>
    <row r="366" spans="1:15" hidden="1" x14ac:dyDescent="0.25">
      <c r="A366">
        <v>331788006583</v>
      </c>
      <c r="B366" t="s">
        <v>38</v>
      </c>
      <c r="C366">
        <v>2</v>
      </c>
      <c r="E366">
        <v>2014200</v>
      </c>
      <c r="F366" t="s">
        <v>682</v>
      </c>
      <c r="G366" t="s">
        <v>15</v>
      </c>
      <c r="H366">
        <v>97060485</v>
      </c>
      <c r="I366" t="s">
        <v>117</v>
      </c>
      <c r="J366">
        <v>8841</v>
      </c>
      <c r="K366" t="s">
        <v>28</v>
      </c>
      <c r="L366" t="str" cm="1">
        <f t="array" ref="L366">IF(SUMPRODUCT(COUNTIF(empresas_filtradas[[#This Row],[cnpj]:[email]],"*"&amp;#REF!&amp;"*"))&gt;0,"sim","não")</f>
        <v>não</v>
      </c>
      <c r="M366" t="s">
        <v>727</v>
      </c>
      <c r="N366" t="str">
        <f>_xlfn.XLOOKUP(empresas_filtradas[[#This Row],[cnpj]], empresas_identificadas_compleme!A:A, empresas_identificadas_compleme!B:B)</f>
        <v>talvez</v>
      </c>
      <c r="O366" t="str">
        <f>_xlfn.XLOOKUP(empresas_filtradas[[#This Row],[cnpj]], empresas_identificadas_compleme!A:A, empresas_identificadas_compleme!C:C)</f>
        <v>CTF_APP</v>
      </c>
    </row>
    <row r="367" spans="1:15" hidden="1" x14ac:dyDescent="0.25">
      <c r="A367" s="1">
        <v>16685196000135</v>
      </c>
      <c r="B367" t="s">
        <v>289</v>
      </c>
      <c r="C367">
        <v>2</v>
      </c>
      <c r="E367">
        <v>2014200</v>
      </c>
      <c r="F367" t="s">
        <v>16</v>
      </c>
      <c r="G367" t="s">
        <v>683</v>
      </c>
      <c r="H367">
        <v>75536110</v>
      </c>
      <c r="I367" t="s">
        <v>173</v>
      </c>
      <c r="J367">
        <v>9425</v>
      </c>
      <c r="K367" t="s">
        <v>15</v>
      </c>
      <c r="L367" t="str" cm="1">
        <f t="array" ref="L367">IF(SUMPRODUCT(COUNTIF(empresas_filtradas[[#This Row],[cnpj]:[email]],"*"&amp;#REF!&amp;"*"))&gt;0,"sim","não")</f>
        <v>não</v>
      </c>
      <c r="M367" t="s">
        <v>951</v>
      </c>
      <c r="N367" t="str">
        <f>_xlfn.XLOOKUP(empresas_filtradas[[#This Row],[cnpj]], empresas_identificadas_compleme!A:A, empresas_identificadas_compleme!B:B)</f>
        <v>talvez</v>
      </c>
      <c r="O367" t="str">
        <f>_xlfn.XLOOKUP(empresas_filtradas[[#This Row],[cnpj]], empresas_identificadas_compleme!A:A, empresas_identificadas_compleme!C:C)</f>
        <v>CTF_APP</v>
      </c>
    </row>
    <row r="368" spans="1:15" hidden="1" x14ac:dyDescent="0.25">
      <c r="A368">
        <v>331788006664</v>
      </c>
      <c r="B368" t="s">
        <v>38</v>
      </c>
      <c r="C368">
        <v>2</v>
      </c>
      <c r="E368">
        <v>2014200</v>
      </c>
      <c r="F368" t="s">
        <v>16</v>
      </c>
      <c r="G368" t="s">
        <v>684</v>
      </c>
      <c r="H368">
        <v>35450000</v>
      </c>
      <c r="I368" t="s">
        <v>17</v>
      </c>
      <c r="J368">
        <v>4637</v>
      </c>
      <c r="K368" t="s">
        <v>28</v>
      </c>
      <c r="L368" t="str" cm="1">
        <f t="array" ref="L368">IF(SUMPRODUCT(COUNTIF(empresas_filtradas[[#This Row],[cnpj]:[email]],"*"&amp;#REF!&amp;"*"))&gt;0,"sim","não")</f>
        <v>não</v>
      </c>
      <c r="M368" t="s">
        <v>728</v>
      </c>
      <c r="N368" t="str">
        <f>_xlfn.XLOOKUP(empresas_filtradas[[#This Row],[cnpj]], empresas_identificadas_compleme!A:A, empresas_identificadas_compleme!B:B)</f>
        <v>talvez</v>
      </c>
      <c r="O368" t="str">
        <f>_xlfn.XLOOKUP(empresas_filtradas[[#This Row],[cnpj]], empresas_identificadas_compleme!A:A, empresas_identificadas_compleme!C:C)</f>
        <v>CTF_APP e 80km</v>
      </c>
    </row>
    <row r="369" spans="1:15" hidden="1" x14ac:dyDescent="0.25">
      <c r="A369" s="1">
        <v>24380578006705</v>
      </c>
      <c r="B369" t="s">
        <v>15</v>
      </c>
      <c r="C369">
        <v>2</v>
      </c>
      <c r="E369">
        <v>2014200</v>
      </c>
      <c r="F369" t="s">
        <v>16</v>
      </c>
      <c r="G369" t="s">
        <v>156</v>
      </c>
      <c r="H369">
        <v>42810340</v>
      </c>
      <c r="I369" t="s">
        <v>60</v>
      </c>
      <c r="J369">
        <v>3413</v>
      </c>
      <c r="K369" t="s">
        <v>33</v>
      </c>
      <c r="L369" t="str" cm="1">
        <f t="array" ref="L369">IF(SUMPRODUCT(COUNTIF(empresas_filtradas[[#This Row],[cnpj]:[email]],"*"&amp;#REF!&amp;"*"))&gt;0,"sim","não")</f>
        <v>não</v>
      </c>
      <c r="M369" t="s">
        <v>727</v>
      </c>
      <c r="N369" t="str">
        <f>_xlfn.XLOOKUP(empresas_filtradas[[#This Row],[cnpj]], empresas_identificadas_compleme!A:A, empresas_identificadas_compleme!B:B)</f>
        <v>talvez</v>
      </c>
      <c r="O369" t="str">
        <f>_xlfn.XLOOKUP(empresas_filtradas[[#This Row],[cnpj]], empresas_identificadas_compleme!A:A, empresas_identificadas_compleme!C:C)</f>
        <v>CTF_APP</v>
      </c>
    </row>
    <row r="370" spans="1:15" x14ac:dyDescent="0.25">
      <c r="A370">
        <v>24791273000160</v>
      </c>
      <c r="B370" t="s">
        <v>15</v>
      </c>
      <c r="C370">
        <v>2</v>
      </c>
      <c r="E370">
        <v>2014200</v>
      </c>
      <c r="F370" t="s">
        <v>685</v>
      </c>
      <c r="G370" t="s">
        <v>15</v>
      </c>
      <c r="H370">
        <v>9664000</v>
      </c>
      <c r="I370" t="s">
        <v>32</v>
      </c>
      <c r="J370">
        <v>7075</v>
      </c>
      <c r="K370" t="s">
        <v>686</v>
      </c>
      <c r="L370" t="str" cm="1">
        <f t="array" ref="L370">IF(SUMPRODUCT(COUNTIF(empresas_filtradas[[#This Row],[cnpj]:[email]],"*"&amp;#REF!&amp;"*"))&gt;0,"sim","não")</f>
        <v>não</v>
      </c>
      <c r="M370" t="s">
        <v>950</v>
      </c>
      <c r="N370" t="str">
        <f>_xlfn.XLOOKUP(empresas_filtradas[[#This Row],[cnpj]], empresas_identificadas_compleme!A:A, empresas_identificadas_compleme!B:B)</f>
        <v>incerto</v>
      </c>
      <c r="O370" t="str">
        <f>_xlfn.XLOOKUP(empresas_filtradas[[#This Row],[cnpj]], empresas_identificadas_compleme!A:A, empresas_identificadas_compleme!C:C)</f>
        <v>80km</v>
      </c>
    </row>
    <row r="371" spans="1:15" hidden="1" x14ac:dyDescent="0.25">
      <c r="A371" s="1">
        <v>24138700000105</v>
      </c>
      <c r="B371" t="s">
        <v>687</v>
      </c>
      <c r="C371">
        <v>2</v>
      </c>
      <c r="E371">
        <v>2014200</v>
      </c>
      <c r="F371" t="s">
        <v>657</v>
      </c>
      <c r="G371" t="s">
        <v>688</v>
      </c>
      <c r="H371">
        <v>67120136</v>
      </c>
      <c r="I371" t="s">
        <v>78</v>
      </c>
      <c r="J371">
        <v>415</v>
      </c>
      <c r="K371" t="s">
        <v>297</v>
      </c>
      <c r="L371" t="str" cm="1">
        <f t="array" ref="L371">IF(SUMPRODUCT(COUNTIF(empresas_filtradas[[#This Row],[cnpj]:[email]],"*"&amp;#REF!&amp;"*"))&gt;0,"sim","não")</f>
        <v>não</v>
      </c>
      <c r="M371" t="s">
        <v>951</v>
      </c>
      <c r="N371" t="str">
        <f>_xlfn.XLOOKUP(empresas_filtradas[[#This Row],[cnpj]], empresas_identificadas_compleme!A:A, empresas_identificadas_compleme!B:B)</f>
        <v>talvez</v>
      </c>
      <c r="O371" t="str">
        <f>_xlfn.XLOOKUP(empresas_filtradas[[#This Row],[cnpj]], empresas_identificadas_compleme!A:A, empresas_identificadas_compleme!C:C)</f>
        <v>80km</v>
      </c>
    </row>
    <row r="372" spans="1:15" hidden="1" x14ac:dyDescent="0.25">
      <c r="A372">
        <v>331788004610</v>
      </c>
      <c r="B372" t="s">
        <v>15</v>
      </c>
      <c r="C372">
        <v>2</v>
      </c>
      <c r="E372">
        <v>2014200</v>
      </c>
      <c r="F372" t="s">
        <v>689</v>
      </c>
      <c r="G372" t="s">
        <v>690</v>
      </c>
      <c r="H372">
        <v>29168080</v>
      </c>
      <c r="I372" t="s">
        <v>49</v>
      </c>
      <c r="J372">
        <v>5699</v>
      </c>
      <c r="K372" t="s">
        <v>28</v>
      </c>
      <c r="L372" t="str" cm="1">
        <f t="array" ref="L372">IF(SUMPRODUCT(COUNTIF(empresas_filtradas[[#This Row],[cnpj]:[email]],"*"&amp;#REF!&amp;"*"))&gt;0,"sim","não")</f>
        <v>não</v>
      </c>
      <c r="M372" t="s">
        <v>728</v>
      </c>
      <c r="N372" t="str">
        <f>_xlfn.XLOOKUP(empresas_filtradas[[#This Row],[cnpj]], empresas_identificadas_compleme!A:A, empresas_identificadas_compleme!B:B)</f>
        <v>talvez</v>
      </c>
      <c r="O372" t="str">
        <f>_xlfn.XLOOKUP(empresas_filtradas[[#This Row],[cnpj]], empresas_identificadas_compleme!A:A, empresas_identificadas_compleme!C:C)</f>
        <v>CTF_APP e 80km</v>
      </c>
    </row>
    <row r="373" spans="1:15" x14ac:dyDescent="0.25">
      <c r="A373">
        <v>15836613000130</v>
      </c>
      <c r="B373" t="s">
        <v>15</v>
      </c>
      <c r="C373">
        <v>2</v>
      </c>
      <c r="E373">
        <v>2014200</v>
      </c>
      <c r="F373" t="s">
        <v>691</v>
      </c>
      <c r="G373" t="s">
        <v>15</v>
      </c>
      <c r="H373">
        <v>4213002</v>
      </c>
      <c r="I373" t="s">
        <v>32</v>
      </c>
      <c r="J373">
        <v>7107</v>
      </c>
      <c r="K373" t="s">
        <v>692</v>
      </c>
      <c r="L373" t="str" cm="1">
        <f t="array" ref="L373">IF(SUMPRODUCT(COUNTIF(empresas_filtradas[[#This Row],[cnpj]:[email]],"*"&amp;#REF!&amp;"*"))&gt;0,"sim","não")</f>
        <v>não</v>
      </c>
      <c r="M373" t="s">
        <v>950</v>
      </c>
      <c r="N373" t="str">
        <f>_xlfn.XLOOKUP(empresas_filtradas[[#This Row],[cnpj]], empresas_identificadas_compleme!A:A, empresas_identificadas_compleme!B:B)</f>
        <v>incerto</v>
      </c>
      <c r="O373" t="str">
        <f>_xlfn.XLOOKUP(empresas_filtradas[[#This Row],[cnpj]], empresas_identificadas_compleme!A:A, empresas_identificadas_compleme!C:C)</f>
        <v>CTF_APP e 80km</v>
      </c>
    </row>
    <row r="374" spans="1:15" hidden="1" x14ac:dyDescent="0.25">
      <c r="A374">
        <v>43843358003538</v>
      </c>
      <c r="B374" t="s">
        <v>15</v>
      </c>
      <c r="C374">
        <v>2</v>
      </c>
      <c r="E374">
        <v>2014200</v>
      </c>
      <c r="F374" t="s">
        <v>16</v>
      </c>
      <c r="G374" t="s">
        <v>693</v>
      </c>
      <c r="H374">
        <v>88830000</v>
      </c>
      <c r="I374" t="s">
        <v>65</v>
      </c>
      <c r="J374">
        <v>8219</v>
      </c>
      <c r="K374" t="s">
        <v>37</v>
      </c>
      <c r="L374" t="str" cm="1">
        <f t="array" ref="L374">IF(SUMPRODUCT(COUNTIF(empresas_filtradas[[#This Row],[cnpj]:[email]],"*"&amp;#REF!&amp;"*"))&gt;0,"sim","não")</f>
        <v>não</v>
      </c>
      <c r="M374" t="s">
        <v>728</v>
      </c>
      <c r="N374" t="str">
        <f>_xlfn.XLOOKUP(empresas_filtradas[[#This Row],[cnpj]], empresas_identificadas_compleme!A:A, empresas_identificadas_compleme!B:B)</f>
        <v>talvez</v>
      </c>
      <c r="O374" t="str">
        <f>_xlfn.XLOOKUP(empresas_filtradas[[#This Row],[cnpj]], empresas_identificadas_compleme!A:A, empresas_identificadas_compleme!C:C)</f>
        <v>CTF_APP</v>
      </c>
    </row>
    <row r="375" spans="1:15" hidden="1" x14ac:dyDescent="0.25">
      <c r="A375" s="1">
        <v>25336013000167</v>
      </c>
      <c r="B375" t="s">
        <v>694</v>
      </c>
      <c r="C375">
        <v>2</v>
      </c>
      <c r="E375">
        <v>2014200</v>
      </c>
      <c r="F375" t="s">
        <v>695</v>
      </c>
      <c r="G375" t="s">
        <v>696</v>
      </c>
      <c r="H375">
        <v>32689350</v>
      </c>
      <c r="I375" t="s">
        <v>17</v>
      </c>
      <c r="J375">
        <v>4133</v>
      </c>
      <c r="K375" t="s">
        <v>697</v>
      </c>
      <c r="L375" t="str" cm="1">
        <f t="array" ref="L375">IF(SUMPRODUCT(COUNTIF(empresas_filtradas[[#This Row],[cnpj]:[email]],"*"&amp;#REF!&amp;"*"))&gt;0,"sim","não")</f>
        <v>não</v>
      </c>
      <c r="M375" t="s">
        <v>951</v>
      </c>
      <c r="N375" t="str">
        <f>_xlfn.XLOOKUP(empresas_filtradas[[#This Row],[cnpj]], empresas_identificadas_compleme!A:A, empresas_identificadas_compleme!B:B)</f>
        <v>talvez</v>
      </c>
      <c r="O375" t="str">
        <f>_xlfn.XLOOKUP(empresas_filtradas[[#This Row],[cnpj]], empresas_identificadas_compleme!A:A, empresas_identificadas_compleme!C:C)</f>
        <v>80km</v>
      </c>
    </row>
    <row r="376" spans="1:15" x14ac:dyDescent="0.25">
      <c r="A376">
        <v>34867665000119</v>
      </c>
      <c r="B376" t="s">
        <v>15</v>
      </c>
      <c r="C376">
        <v>2</v>
      </c>
      <c r="E376">
        <v>2014200</v>
      </c>
      <c r="F376" t="s">
        <v>698</v>
      </c>
      <c r="G376" t="s">
        <v>15</v>
      </c>
      <c r="H376">
        <v>3707000</v>
      </c>
      <c r="I376" t="s">
        <v>32</v>
      </c>
      <c r="J376">
        <v>7107</v>
      </c>
      <c r="K376" t="s">
        <v>362</v>
      </c>
      <c r="L376" t="str" cm="1">
        <f t="array" ref="L376">IF(SUMPRODUCT(COUNTIF(empresas_filtradas[[#This Row],[cnpj]:[email]],"*"&amp;#REF!&amp;"*"))&gt;0,"sim","não")</f>
        <v>não</v>
      </c>
      <c r="M376" t="s">
        <v>950</v>
      </c>
      <c r="N376" t="str">
        <f>_xlfn.XLOOKUP(empresas_filtradas[[#This Row],[cnpj]], empresas_identificadas_compleme!A:A, empresas_identificadas_compleme!B:B)</f>
        <v>incerto</v>
      </c>
      <c r="O376" t="str">
        <f>_xlfn.XLOOKUP(empresas_filtradas[[#This Row],[cnpj]], empresas_identificadas_compleme!A:A, empresas_identificadas_compleme!C:C)</f>
        <v>80km</v>
      </c>
    </row>
    <row r="377" spans="1:15" x14ac:dyDescent="0.25">
      <c r="A377">
        <v>46627517000106</v>
      </c>
      <c r="B377" t="s">
        <v>15</v>
      </c>
      <c r="C377">
        <v>2</v>
      </c>
      <c r="E377">
        <v>2014200</v>
      </c>
      <c r="F377" t="s">
        <v>63</v>
      </c>
      <c r="G377" t="s">
        <v>699</v>
      </c>
      <c r="H377">
        <v>89245000</v>
      </c>
      <c r="I377" t="s">
        <v>65</v>
      </c>
      <c r="J377">
        <v>8025</v>
      </c>
      <c r="K377" t="s">
        <v>700</v>
      </c>
      <c r="L377" t="str" cm="1">
        <f t="array" ref="L377">IF(SUMPRODUCT(COUNTIF(empresas_filtradas[[#This Row],[cnpj]:[email]],"*"&amp;#REF!&amp;"*"))&gt;0,"sim","não")</f>
        <v>não</v>
      </c>
      <c r="M377" t="s">
        <v>950</v>
      </c>
      <c r="N377" t="str">
        <f>_xlfn.XLOOKUP(empresas_filtradas[[#This Row],[cnpj]], empresas_identificadas_compleme!A:A, empresas_identificadas_compleme!B:B)</f>
        <v>incerto</v>
      </c>
      <c r="O377">
        <f>_xlfn.XLOOKUP(empresas_filtradas[[#This Row],[cnpj]], empresas_identificadas_compleme!A:A, empresas_identificadas_compleme!C:C)</f>
        <v>0</v>
      </c>
    </row>
    <row r="378" spans="1:15" x14ac:dyDescent="0.25">
      <c r="A378" s="1">
        <v>4888219000391</v>
      </c>
      <c r="B378" t="s">
        <v>157</v>
      </c>
      <c r="C378">
        <v>2</v>
      </c>
      <c r="E378">
        <v>2014200</v>
      </c>
      <c r="F378" t="s">
        <v>16</v>
      </c>
      <c r="G378" t="s">
        <v>15</v>
      </c>
      <c r="H378">
        <v>55616899</v>
      </c>
      <c r="I378" t="s">
        <v>92</v>
      </c>
      <c r="J378">
        <v>2627</v>
      </c>
      <c r="K378" t="s">
        <v>160</v>
      </c>
      <c r="L378" t="str" cm="1">
        <f t="array" ref="L378">IF(SUMPRODUCT(COUNTIF(empresas_filtradas[[#This Row],[cnpj]:[email]],"*"&amp;#REF!&amp;"*"))&gt;0,"sim","não")</f>
        <v>não</v>
      </c>
      <c r="M378" t="s">
        <v>950</v>
      </c>
      <c r="N378" t="str">
        <f>_xlfn.XLOOKUP(empresas_filtradas[[#This Row],[cnpj]], empresas_identificadas_compleme!A:A, empresas_identificadas_compleme!B:B)</f>
        <v>talvez</v>
      </c>
      <c r="O378" t="str">
        <f>_xlfn.XLOOKUP(empresas_filtradas[[#This Row],[cnpj]], empresas_identificadas_compleme!A:A, empresas_identificadas_compleme!C:C)</f>
        <v>80km</v>
      </c>
    </row>
    <row r="379" spans="1:15" x14ac:dyDescent="0.25">
      <c r="A379" s="1">
        <v>1327288000257</v>
      </c>
      <c r="B379" t="s">
        <v>701</v>
      </c>
      <c r="C379">
        <v>2</v>
      </c>
      <c r="E379">
        <v>2014200</v>
      </c>
      <c r="F379" t="s">
        <v>702</v>
      </c>
      <c r="G379" t="s">
        <v>15</v>
      </c>
      <c r="H379">
        <v>3707000</v>
      </c>
      <c r="I379" t="s">
        <v>32</v>
      </c>
      <c r="J379">
        <v>7107</v>
      </c>
      <c r="K379" t="s">
        <v>703</v>
      </c>
      <c r="L379" t="str" cm="1">
        <f t="array" ref="L379">IF(SUMPRODUCT(COUNTIF(empresas_filtradas[[#This Row],[cnpj]:[email]],"*"&amp;#REF!&amp;"*"))&gt;0,"sim","não")</f>
        <v>não</v>
      </c>
      <c r="M379" t="s">
        <v>950</v>
      </c>
      <c r="N379" t="str">
        <f>_xlfn.XLOOKUP(empresas_filtradas[[#This Row],[cnpj]], empresas_identificadas_compleme!A:A, empresas_identificadas_compleme!B:B)</f>
        <v>talvez</v>
      </c>
      <c r="O379" t="str">
        <f>_xlfn.XLOOKUP(empresas_filtradas[[#This Row],[cnpj]], empresas_identificadas_compleme!A:A, empresas_identificadas_compleme!C:C)</f>
        <v>80km</v>
      </c>
    </row>
    <row r="380" spans="1:15" x14ac:dyDescent="0.25">
      <c r="A380">
        <v>57828315000149</v>
      </c>
      <c r="B380" t="s">
        <v>704</v>
      </c>
      <c r="C380">
        <v>2</v>
      </c>
      <c r="D380">
        <v>105</v>
      </c>
      <c r="E380">
        <v>2014200</v>
      </c>
      <c r="F380" t="s">
        <v>705</v>
      </c>
      <c r="G380" t="s">
        <v>15</v>
      </c>
      <c r="H380">
        <v>72649715</v>
      </c>
      <c r="I380" t="s">
        <v>40</v>
      </c>
      <c r="J380">
        <v>9701</v>
      </c>
      <c r="K380" t="s">
        <v>706</v>
      </c>
      <c r="L380" t="str" cm="1">
        <f t="array" ref="L380">IF(SUMPRODUCT(COUNTIF(empresas_filtradas[[#This Row],[cnpj]:[email]],"*"&amp;#REF!&amp;"*"))&gt;0,"sim","não")</f>
        <v>não</v>
      </c>
      <c r="M380" t="s">
        <v>950</v>
      </c>
      <c r="N380" t="str">
        <f>_xlfn.XLOOKUP(empresas_filtradas[[#This Row],[cnpj]], empresas_identificadas_compleme!A:A, empresas_identificadas_compleme!B:B)</f>
        <v>talvez</v>
      </c>
      <c r="O380">
        <f>_xlfn.XLOOKUP(empresas_filtradas[[#This Row],[cnpj]], empresas_identificadas_compleme!A:A, empresas_identificadas_compleme!C:C)</f>
        <v>0</v>
      </c>
    </row>
    <row r="381" spans="1:15" hidden="1" x14ac:dyDescent="0.25">
      <c r="A381" s="1">
        <v>59762931000170</v>
      </c>
      <c r="B381" t="s">
        <v>707</v>
      </c>
      <c r="C381">
        <v>2</v>
      </c>
      <c r="E381">
        <v>2014200</v>
      </c>
      <c r="F381" t="s">
        <v>708</v>
      </c>
      <c r="G381" t="s">
        <v>709</v>
      </c>
      <c r="H381">
        <v>22640904</v>
      </c>
      <c r="I381" t="s">
        <v>27</v>
      </c>
      <c r="J381">
        <v>6001</v>
      </c>
      <c r="K381" t="s">
        <v>207</v>
      </c>
      <c r="L381" t="str" cm="1">
        <f t="array" ref="L381">IF(SUMPRODUCT(COUNTIF(empresas_filtradas[[#This Row],[cnpj]:[email]],"*"&amp;#REF!&amp;"*"))&gt;0,"sim","não")</f>
        <v>não</v>
      </c>
      <c r="M381" t="s">
        <v>951</v>
      </c>
      <c r="N381" t="str">
        <f>_xlfn.XLOOKUP(empresas_filtradas[[#This Row],[cnpj]], empresas_identificadas_compleme!A:A, empresas_identificadas_compleme!B:B)</f>
        <v>talvez</v>
      </c>
      <c r="O381" t="str">
        <f>_xlfn.XLOOKUP(empresas_filtradas[[#This Row],[cnpj]], empresas_identificadas_compleme!A:A, empresas_identificadas_compleme!C:C)</f>
        <v>80km</v>
      </c>
    </row>
    <row r="382" spans="1:15" x14ac:dyDescent="0.25">
      <c r="A382">
        <v>61790750000107</v>
      </c>
      <c r="B382" t="s">
        <v>15</v>
      </c>
      <c r="C382">
        <v>2</v>
      </c>
      <c r="D382">
        <v>105</v>
      </c>
      <c r="E382">
        <v>2014200</v>
      </c>
      <c r="F382" t="s">
        <v>710</v>
      </c>
      <c r="G382" t="s">
        <v>711</v>
      </c>
      <c r="H382">
        <v>95680012</v>
      </c>
      <c r="I382" t="s">
        <v>117</v>
      </c>
      <c r="J382">
        <v>8585</v>
      </c>
      <c r="K382" t="s">
        <v>712</v>
      </c>
      <c r="L382" t="str" cm="1">
        <f t="array" ref="L382">IF(SUMPRODUCT(COUNTIF(empresas_filtradas[[#This Row],[cnpj]:[email]],"*"&amp;#REF!&amp;"*"))&gt;0,"sim","não")</f>
        <v>não</v>
      </c>
      <c r="M382" t="s">
        <v>950</v>
      </c>
      <c r="N382" t="str">
        <f>_xlfn.XLOOKUP(empresas_filtradas[[#This Row],[cnpj]], empresas_identificadas_compleme!A:A, empresas_identificadas_compleme!B:B)</f>
        <v>incerto</v>
      </c>
      <c r="O382" t="str">
        <f>_xlfn.XLOOKUP(empresas_filtradas[[#This Row],[cnpj]], empresas_identificadas_compleme!A:A, empresas_identificadas_compleme!C:C)</f>
        <v>80km</v>
      </c>
    </row>
    <row r="383" spans="1:15" hidden="1" x14ac:dyDescent="0.25">
      <c r="A383">
        <v>62505841000108</v>
      </c>
      <c r="B383" t="s">
        <v>713</v>
      </c>
      <c r="C383">
        <v>2</v>
      </c>
      <c r="D383">
        <v>105</v>
      </c>
      <c r="E383">
        <v>2014200</v>
      </c>
      <c r="F383" t="s">
        <v>698</v>
      </c>
      <c r="G383" t="s">
        <v>15</v>
      </c>
      <c r="H383">
        <v>65071745</v>
      </c>
      <c r="I383" t="s">
        <v>56</v>
      </c>
      <c r="J383">
        <v>921</v>
      </c>
      <c r="K383" t="s">
        <v>88</v>
      </c>
      <c r="L383" t="str" cm="1">
        <f t="array" ref="L383">IF(SUMPRODUCT(COUNTIF(empresas_filtradas[[#This Row],[cnpj]:[email]],"*"&amp;#REF!&amp;"*"))&gt;0,"sim","não")</f>
        <v>não</v>
      </c>
      <c r="M383" t="s">
        <v>952</v>
      </c>
      <c r="N383" t="str">
        <f>_xlfn.XLOOKUP(empresas_filtradas[[#This Row],[cnpj]], empresas_identificadas_compleme!A:A, empresas_identificadas_compleme!B:B)</f>
        <v>talvez</v>
      </c>
      <c r="O383">
        <f>_xlfn.XLOOKUP(empresas_filtradas[[#This Row],[cnpj]], empresas_identificadas_compleme!A:A, empresas_identificadas_compleme!C:C)</f>
        <v>0</v>
      </c>
    </row>
    <row r="384" spans="1:15" x14ac:dyDescent="0.25">
      <c r="A384">
        <v>55482177000244</v>
      </c>
      <c r="B384" t="s">
        <v>15</v>
      </c>
      <c r="C384">
        <v>2</v>
      </c>
      <c r="E384">
        <v>2014200</v>
      </c>
      <c r="F384" t="s">
        <v>16</v>
      </c>
      <c r="G384" t="s">
        <v>714</v>
      </c>
      <c r="H384">
        <v>59146480</v>
      </c>
      <c r="I384" t="s">
        <v>71</v>
      </c>
      <c r="J384">
        <v>1779</v>
      </c>
      <c r="K384" t="s">
        <v>93</v>
      </c>
      <c r="L384" t="str" cm="1">
        <f t="array" ref="L384">IF(SUMPRODUCT(COUNTIF(empresas_filtradas[[#This Row],[cnpj]:[email]],"*"&amp;#REF!&amp;"*"))&gt;0,"sim","não")</f>
        <v>não</v>
      </c>
      <c r="M384" t="s">
        <v>950</v>
      </c>
      <c r="N384" t="str">
        <f>_xlfn.XLOOKUP(empresas_filtradas[[#This Row],[cnpj]], empresas_identificadas_compleme!A:A, empresas_identificadas_compleme!B:B)</f>
        <v>incerto</v>
      </c>
      <c r="O384">
        <f>_xlfn.XLOOKUP(empresas_filtradas[[#This Row],[cnpj]], empresas_identificadas_compleme!A:A, empresas_identificadas_compleme!C:C)</f>
        <v>0</v>
      </c>
    </row>
    <row r="385" spans="1:15" hidden="1" x14ac:dyDescent="0.25">
      <c r="A385">
        <v>60619202001462</v>
      </c>
      <c r="B385" t="s">
        <v>15</v>
      </c>
      <c r="C385">
        <v>2</v>
      </c>
      <c r="E385">
        <v>2014200</v>
      </c>
      <c r="F385" t="s">
        <v>16</v>
      </c>
      <c r="G385" t="s">
        <v>15</v>
      </c>
      <c r="H385">
        <v>61939120</v>
      </c>
      <c r="I385" t="s">
        <v>108</v>
      </c>
      <c r="J385">
        <v>1585</v>
      </c>
      <c r="K385" t="s">
        <v>24</v>
      </c>
      <c r="L385" t="str" cm="1">
        <f t="array" ref="L385">IF(SUMPRODUCT(COUNTIF(empresas_filtradas[[#This Row],[cnpj]:[email]],"*"&amp;#REF!&amp;"*"))&gt;0,"sim","não")</f>
        <v>não</v>
      </c>
      <c r="M385" t="s">
        <v>728</v>
      </c>
      <c r="N385" t="str">
        <f>_xlfn.XLOOKUP(empresas_filtradas[[#This Row],[cnpj]], empresas_identificadas_compleme!A:A, empresas_identificadas_compleme!B:B)</f>
        <v>talvez</v>
      </c>
      <c r="O385" t="str">
        <f>_xlfn.XLOOKUP(empresas_filtradas[[#This Row],[cnpj]], empresas_identificadas_compleme!A:A, empresas_identificadas_compleme!C:C)</f>
        <v>CTF_APP e 80km</v>
      </c>
    </row>
    <row r="386" spans="1:15" hidden="1" x14ac:dyDescent="0.25">
      <c r="A386">
        <v>331788001867</v>
      </c>
      <c r="B386" t="s">
        <v>15</v>
      </c>
      <c r="C386">
        <v>2</v>
      </c>
      <c r="E386">
        <v>2014200</v>
      </c>
      <c r="F386" t="s">
        <v>715</v>
      </c>
      <c r="G386" t="s">
        <v>15</v>
      </c>
      <c r="H386">
        <v>13148000</v>
      </c>
      <c r="I386" t="s">
        <v>32</v>
      </c>
      <c r="J386">
        <v>6831</v>
      </c>
      <c r="K386" t="s">
        <v>28</v>
      </c>
      <c r="L386" t="str" cm="1">
        <f t="array" ref="L386">IF(SUMPRODUCT(COUNTIF(empresas_filtradas[[#This Row],[cnpj]:[email]],"*"&amp;#REF!&amp;"*"))&gt;0,"sim","não")</f>
        <v>não</v>
      </c>
      <c r="M386" t="s">
        <v>726</v>
      </c>
      <c r="N386" t="str">
        <f>_xlfn.XLOOKUP(empresas_filtradas[[#This Row],[cnpj]], empresas_identificadas_compleme!A:A, empresas_identificadas_compleme!B:B)</f>
        <v>talvez</v>
      </c>
      <c r="O386" t="str">
        <f>_xlfn.XLOOKUP(empresas_filtradas[[#This Row],[cnpj]], empresas_identificadas_compleme!A:A, empresas_identificadas_compleme!C:C)</f>
        <v>CTF_APP e 80km</v>
      </c>
    </row>
    <row r="387" spans="1:15" hidden="1" x14ac:dyDescent="0.25">
      <c r="A387" s="1">
        <v>35820448018345</v>
      </c>
      <c r="B387" t="s">
        <v>15</v>
      </c>
      <c r="C387">
        <v>2</v>
      </c>
      <c r="E387">
        <v>2014200</v>
      </c>
      <c r="F387" t="s">
        <v>16</v>
      </c>
      <c r="G387" t="s">
        <v>15</v>
      </c>
      <c r="H387">
        <v>88390000</v>
      </c>
      <c r="I387" t="s">
        <v>65</v>
      </c>
      <c r="J387">
        <v>8041</v>
      </c>
      <c r="K387" t="s">
        <v>33</v>
      </c>
      <c r="L387" t="str" cm="1">
        <f t="array" ref="L387">IF(SUMPRODUCT(COUNTIF(empresas_filtradas[[#This Row],[cnpj]:[email]],"*"&amp;#REF!&amp;"*"))&gt;0,"sim","não")</f>
        <v>não</v>
      </c>
      <c r="M387" t="s">
        <v>727</v>
      </c>
      <c r="N387" t="str">
        <f>_xlfn.XLOOKUP(empresas_filtradas[[#This Row],[cnpj]], empresas_identificadas_compleme!A:A, empresas_identificadas_compleme!B:B)</f>
        <v>talvez</v>
      </c>
      <c r="O387" t="str">
        <f>_xlfn.XLOOKUP(empresas_filtradas[[#This Row],[cnpj]], empresas_identificadas_compleme!A:A, empresas_identificadas_compleme!C:C)</f>
        <v>CTF_APP</v>
      </c>
    </row>
    <row r="388" spans="1:15" hidden="1" x14ac:dyDescent="0.25">
      <c r="A388" s="1">
        <v>35820448000721</v>
      </c>
      <c r="B388" t="s">
        <v>15</v>
      </c>
      <c r="C388">
        <v>2</v>
      </c>
      <c r="E388">
        <v>2014200</v>
      </c>
      <c r="F388" t="s">
        <v>232</v>
      </c>
      <c r="G388" t="s">
        <v>156</v>
      </c>
      <c r="H388">
        <v>25225170</v>
      </c>
      <c r="I388" t="s">
        <v>27</v>
      </c>
      <c r="J388">
        <v>5833</v>
      </c>
      <c r="K388" t="s">
        <v>33</v>
      </c>
      <c r="L388" t="str" cm="1">
        <f t="array" ref="L388">IF(SUMPRODUCT(COUNTIF(empresas_filtradas[[#This Row],[cnpj]:[email]],"*"&amp;#REF!&amp;"*"))&gt;0,"sim","não")</f>
        <v>não</v>
      </c>
      <c r="M388" t="s">
        <v>728</v>
      </c>
      <c r="N388" t="str">
        <f>_xlfn.XLOOKUP(empresas_filtradas[[#This Row],[cnpj]], empresas_identificadas_compleme!A:A, empresas_identificadas_compleme!B:B)</f>
        <v>talvez</v>
      </c>
      <c r="O388" t="str">
        <f>_xlfn.XLOOKUP(empresas_filtradas[[#This Row],[cnpj]], empresas_identificadas_compleme!A:A, empresas_identificadas_compleme!C:C)</f>
        <v>CTF_APP e 80km</v>
      </c>
    </row>
    <row r="389" spans="1:15" hidden="1" x14ac:dyDescent="0.25">
      <c r="A389" s="1">
        <v>35820448004395</v>
      </c>
      <c r="B389" t="s">
        <v>15</v>
      </c>
      <c r="C389">
        <v>2</v>
      </c>
      <c r="E389">
        <v>2014200</v>
      </c>
      <c r="F389" t="s">
        <v>16</v>
      </c>
      <c r="G389" t="s">
        <v>716</v>
      </c>
      <c r="H389">
        <v>35502287</v>
      </c>
      <c r="I389" t="s">
        <v>17</v>
      </c>
      <c r="J389">
        <v>4445</v>
      </c>
      <c r="K389" t="s">
        <v>33</v>
      </c>
      <c r="L389" t="str" cm="1">
        <f t="array" ref="L389">IF(SUMPRODUCT(COUNTIF(empresas_filtradas[[#This Row],[cnpj]:[email]],"*"&amp;#REF!&amp;"*"))&gt;0,"sim","não")</f>
        <v>não</v>
      </c>
      <c r="M389" t="s">
        <v>727</v>
      </c>
      <c r="N389" t="str">
        <f>_xlfn.XLOOKUP(empresas_filtradas[[#This Row],[cnpj]], empresas_identificadas_compleme!A:A, empresas_identificadas_compleme!B:B)</f>
        <v>talvez</v>
      </c>
      <c r="O389" t="str">
        <f>_xlfn.XLOOKUP(empresas_filtradas[[#This Row],[cnpj]], empresas_identificadas_compleme!A:A, empresas_identificadas_compleme!C:C)</f>
        <v>CTF_APP</v>
      </c>
    </row>
    <row r="390" spans="1:15" hidden="1" x14ac:dyDescent="0.25">
      <c r="A390">
        <v>43843358000350</v>
      </c>
      <c r="B390" t="s">
        <v>15</v>
      </c>
      <c r="C390">
        <v>2</v>
      </c>
      <c r="E390">
        <v>2014200</v>
      </c>
      <c r="F390" t="s">
        <v>717</v>
      </c>
      <c r="G390" t="s">
        <v>15</v>
      </c>
      <c r="H390">
        <v>8770030</v>
      </c>
      <c r="I390" t="s">
        <v>32</v>
      </c>
      <c r="J390">
        <v>6713</v>
      </c>
      <c r="K390" t="s">
        <v>37</v>
      </c>
      <c r="L390" t="str" cm="1">
        <f t="array" ref="L390">IF(SUMPRODUCT(COUNTIF(empresas_filtradas[[#This Row],[cnpj]:[email]],"*"&amp;#REF!&amp;"*"))&gt;0,"sim","não")</f>
        <v>não</v>
      </c>
      <c r="M390" t="s">
        <v>728</v>
      </c>
      <c r="N390" t="str">
        <f>_xlfn.XLOOKUP(empresas_filtradas[[#This Row],[cnpj]], empresas_identificadas_compleme!A:A, empresas_identificadas_compleme!B:B)</f>
        <v>talvez</v>
      </c>
      <c r="O390" t="str">
        <f>_xlfn.XLOOKUP(empresas_filtradas[[#This Row],[cnpj]], empresas_identificadas_compleme!A:A, empresas_identificadas_compleme!C:C)</f>
        <v>CTF_APP e 80km</v>
      </c>
    </row>
    <row r="391" spans="1:15" x14ac:dyDescent="0.25">
      <c r="A391">
        <v>74450842000181</v>
      </c>
      <c r="B391" t="s">
        <v>15</v>
      </c>
      <c r="C391">
        <v>2</v>
      </c>
      <c r="E391">
        <v>2014200</v>
      </c>
      <c r="F391" t="s">
        <v>16</v>
      </c>
      <c r="G391" t="s">
        <v>718</v>
      </c>
      <c r="H391">
        <v>13835000</v>
      </c>
      <c r="I391" t="s">
        <v>32</v>
      </c>
      <c r="J391">
        <v>6345</v>
      </c>
      <c r="K391" t="s">
        <v>719</v>
      </c>
      <c r="L391" t="str" cm="1">
        <f t="array" ref="L391">IF(SUMPRODUCT(COUNTIF(empresas_filtradas[[#This Row],[cnpj]:[email]],"*"&amp;#REF!&amp;"*"))&gt;0,"sim","não")</f>
        <v>não</v>
      </c>
      <c r="M391" t="s">
        <v>950</v>
      </c>
      <c r="N391" t="str">
        <f>_xlfn.XLOOKUP(empresas_filtradas[[#This Row],[cnpj]], empresas_identificadas_compleme!A:A, empresas_identificadas_compleme!B:B)</f>
        <v>incerto</v>
      </c>
      <c r="O391" t="str">
        <f>_xlfn.XLOOKUP(empresas_filtradas[[#This Row],[cnpj]], empresas_identificadas_compleme!A:A, empresas_identificadas_compleme!C:C)</f>
        <v>80km</v>
      </c>
    </row>
    <row r="392" spans="1:15" hidden="1" x14ac:dyDescent="0.25">
      <c r="A392">
        <v>60619202004135</v>
      </c>
      <c r="B392" t="s">
        <v>21</v>
      </c>
      <c r="C392">
        <v>2</v>
      </c>
      <c r="E392">
        <v>2014200</v>
      </c>
      <c r="F392" t="s">
        <v>720</v>
      </c>
      <c r="G392" t="s">
        <v>721</v>
      </c>
      <c r="H392">
        <v>86191345</v>
      </c>
      <c r="I392" t="s">
        <v>45</v>
      </c>
      <c r="J392">
        <v>7471</v>
      </c>
      <c r="K392" t="s">
        <v>24</v>
      </c>
      <c r="L392" t="str" cm="1">
        <f t="array" ref="L392">IF(SUMPRODUCT(COUNTIF(empresas_filtradas[[#This Row],[cnpj]:[email]],"*"&amp;#REF!&amp;"*"))&gt;0,"sim","não")</f>
        <v>não</v>
      </c>
      <c r="M392" t="s">
        <v>727</v>
      </c>
      <c r="N392" t="str">
        <f>_xlfn.XLOOKUP(empresas_filtradas[[#This Row],[cnpj]], empresas_identificadas_compleme!A:A, empresas_identificadas_compleme!B:B)</f>
        <v>talvez</v>
      </c>
      <c r="O392" t="str">
        <f>_xlfn.XLOOKUP(empresas_filtradas[[#This Row],[cnpj]], empresas_identificadas_compleme!A:A, empresas_identificadas_compleme!C:C)</f>
        <v>CTF_APP</v>
      </c>
    </row>
    <row r="393" spans="1:15" hidden="1" x14ac:dyDescent="0.25">
      <c r="A393">
        <v>60619202004992</v>
      </c>
      <c r="B393" t="s">
        <v>21</v>
      </c>
      <c r="C393">
        <v>2</v>
      </c>
      <c r="E393">
        <v>2014200</v>
      </c>
      <c r="F393" t="s">
        <v>196</v>
      </c>
      <c r="G393" t="s">
        <v>722</v>
      </c>
      <c r="H393">
        <v>74984323</v>
      </c>
      <c r="I393" t="s">
        <v>173</v>
      </c>
      <c r="J393">
        <v>9227</v>
      </c>
      <c r="K393" t="s">
        <v>24</v>
      </c>
      <c r="L393" t="str" cm="1">
        <f t="array" ref="L393">IF(SUMPRODUCT(COUNTIF(empresas_filtradas[[#This Row],[cnpj]:[email]],"*"&amp;#REF!&amp;"*"))&gt;0,"sim","não")</f>
        <v>não</v>
      </c>
      <c r="M393" t="s">
        <v>727</v>
      </c>
      <c r="N393" t="str">
        <f>_xlfn.XLOOKUP(empresas_filtradas[[#This Row],[cnpj]], empresas_identificadas_compleme!A:A, empresas_identificadas_compleme!B:B)</f>
        <v>talvez</v>
      </c>
      <c r="O393" t="str">
        <f>_xlfn.XLOOKUP(empresas_filtradas[[#This Row],[cnpj]], empresas_identificadas_compleme!A:A, empresas_identificadas_compleme!C:C)</f>
        <v>CTF_APP</v>
      </c>
    </row>
    <row r="394" spans="1:15" hidden="1" x14ac:dyDescent="0.25">
      <c r="A394">
        <v>67423152001220</v>
      </c>
      <c r="B394" t="s">
        <v>15</v>
      </c>
      <c r="C394">
        <v>2</v>
      </c>
      <c r="E394">
        <v>2014200</v>
      </c>
      <c r="F394" t="s">
        <v>16</v>
      </c>
      <c r="G394" t="s">
        <v>723</v>
      </c>
      <c r="H394">
        <v>74993535</v>
      </c>
      <c r="I394" t="s">
        <v>173</v>
      </c>
      <c r="J394">
        <v>9227</v>
      </c>
      <c r="K394" t="s">
        <v>724</v>
      </c>
      <c r="L394" t="str" cm="1">
        <f t="array" ref="L394">IF(SUMPRODUCT(COUNTIF(empresas_filtradas[[#This Row],[cnpj]:[email]],"*"&amp;#REF!&amp;"*"))&gt;0,"sim","não")</f>
        <v>não</v>
      </c>
      <c r="M394" t="s">
        <v>951</v>
      </c>
      <c r="N394" t="str">
        <f>_xlfn.XLOOKUP(empresas_filtradas[[#This Row],[cnpj]], empresas_identificadas_compleme!A:A, empresas_identificadas_compleme!B:B)</f>
        <v>talvez</v>
      </c>
      <c r="O394" t="str">
        <f>_xlfn.XLOOKUP(empresas_filtradas[[#This Row],[cnpj]], empresas_identificadas_compleme!A:A, empresas_identificadas_compleme!C:C)</f>
        <v>CTF_APP</v>
      </c>
    </row>
  </sheetData>
  <conditionalFormatting sqref="A2:K394">
    <cfRule type="expression" dxfId="2" priority="1">
      <formula>$L2="sim"</formula>
    </cfRule>
  </conditionalFormatting>
  <conditionalFormatting sqref="A1:L394">
    <cfRule type="expression" dxfId="1" priority="2">
      <formula>$L:$L = "sim"</formula>
    </cfRule>
  </conditionalFormatting>
  <conditionalFormatting sqref="L2">
    <cfRule type="expression" dxfId="0" priority="3">
      <formula xml:space="preserve"> $L:$L = "sim"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A7C31-1C1B-4E37-9D14-0EDA6D6033A4}">
  <dimension ref="A1:Q371"/>
  <sheetViews>
    <sheetView tabSelected="1" workbookViewId="0">
      <selection activeCell="F2" sqref="F2"/>
    </sheetView>
  </sheetViews>
  <sheetFormatPr defaultRowHeight="15" x14ac:dyDescent="0.25"/>
  <cols>
    <col min="1" max="1" width="17.85546875" style="1" bestFit="1" customWidth="1"/>
    <col min="2" max="2" width="10.28515625" bestFit="1" customWidth="1"/>
    <col min="3" max="3" width="15.5703125" bestFit="1" customWidth="1"/>
    <col min="4" max="4" width="9" bestFit="1" customWidth="1"/>
    <col min="5" max="5" width="5.140625" bestFit="1" customWidth="1"/>
    <col min="6" max="6" width="12.140625" bestFit="1" customWidth="1"/>
    <col min="7" max="7" width="26.7109375" bestFit="1" customWidth="1"/>
    <col min="8" max="8" width="26.85546875" bestFit="1" customWidth="1"/>
    <col min="9" max="9" width="19.5703125" bestFit="1" customWidth="1"/>
    <col min="10" max="11" width="10.7109375" bestFit="1" customWidth="1"/>
    <col min="12" max="12" width="26.5703125" bestFit="1" customWidth="1"/>
    <col min="13" max="13" width="27.42578125" bestFit="1" customWidth="1"/>
    <col min="14" max="14" width="9.42578125" bestFit="1" customWidth="1"/>
    <col min="15" max="15" width="56.140625" bestFit="1" customWidth="1"/>
    <col min="16" max="16" width="56.140625" customWidth="1"/>
    <col min="17" max="17" width="17.85546875" bestFit="1" customWidth="1"/>
  </cols>
  <sheetData>
    <row r="1" spans="1:17" x14ac:dyDescent="0.25">
      <c r="A1" s="1" t="s">
        <v>0</v>
      </c>
      <c r="B1" t="s">
        <v>1</v>
      </c>
      <c r="C1" t="s">
        <v>729</v>
      </c>
      <c r="D1" t="s">
        <v>11</v>
      </c>
      <c r="E1" t="s">
        <v>12</v>
      </c>
      <c r="F1" t="s">
        <v>13</v>
      </c>
      <c r="G1" t="s">
        <v>730</v>
      </c>
      <c r="H1" t="s">
        <v>731</v>
      </c>
      <c r="I1" t="s">
        <v>732</v>
      </c>
      <c r="J1" t="s">
        <v>733</v>
      </c>
      <c r="K1" t="s">
        <v>734</v>
      </c>
      <c r="L1" t="s">
        <v>735</v>
      </c>
      <c r="M1" t="s">
        <v>736</v>
      </c>
      <c r="N1" t="s">
        <v>737</v>
      </c>
      <c r="O1" t="s">
        <v>738</v>
      </c>
      <c r="P1" t="s">
        <v>14</v>
      </c>
      <c r="Q1" t="s">
        <v>955</v>
      </c>
    </row>
    <row r="2" spans="1:17" x14ac:dyDescent="0.25">
      <c r="A2">
        <v>60619202001896</v>
      </c>
      <c r="B2" t="s">
        <v>2</v>
      </c>
      <c r="C2" t="s">
        <v>739</v>
      </c>
      <c r="D2">
        <v>57080010</v>
      </c>
      <c r="E2" t="s">
        <v>19</v>
      </c>
      <c r="F2">
        <v>2785</v>
      </c>
      <c r="G2" t="s">
        <v>740</v>
      </c>
      <c r="H2" t="s">
        <v>741</v>
      </c>
      <c r="I2">
        <v>20.54</v>
      </c>
      <c r="J2">
        <v>-9.6072857999999997</v>
      </c>
      <c r="K2">
        <v>-35.739299600000002</v>
      </c>
      <c r="L2" t="s">
        <v>742</v>
      </c>
      <c r="M2" t="s">
        <v>743</v>
      </c>
      <c r="N2" t="s">
        <v>19</v>
      </c>
      <c r="P2" t="str">
        <f>_xlfn.XLOOKUP(empresas_identificadas_complementadas[[#This Row],[cnpj]],empresas_filtradas[cnpj],empresas_filtradas[email])</f>
        <v>rita.rocha@br.aga.com</v>
      </c>
      <c r="Q2" t="str">
        <f>_xlfn.XLOOKUP(empresas_identificadas_complementadas[[#This Row],[cnpj]],empresas_filtradas!A:A,empresas_filtradas!M:M)</f>
        <v>Sem Relação</v>
      </c>
    </row>
    <row r="3" spans="1:17" x14ac:dyDescent="0.25">
      <c r="A3">
        <v>60619202000490</v>
      </c>
      <c r="B3" t="s">
        <v>2</v>
      </c>
      <c r="C3" t="s">
        <v>744</v>
      </c>
      <c r="D3">
        <v>78098370</v>
      </c>
      <c r="E3" t="s">
        <v>23</v>
      </c>
      <c r="F3">
        <v>9067</v>
      </c>
      <c r="G3" t="s">
        <v>745</v>
      </c>
      <c r="H3" t="s">
        <v>746</v>
      </c>
      <c r="I3">
        <v>964.58</v>
      </c>
      <c r="J3">
        <v>-15.6689542</v>
      </c>
      <c r="K3">
        <v>-55.978970799999999</v>
      </c>
      <c r="L3" t="s">
        <v>742</v>
      </c>
      <c r="M3" t="s">
        <v>747</v>
      </c>
      <c r="N3" t="s">
        <v>23</v>
      </c>
      <c r="P3" t="str">
        <f>_xlfn.XLOOKUP(empresas_identificadas_complementadas[[#This Row],[cnpj]],empresas_filtradas[cnpj],empresas_filtradas[email])</f>
        <v>TAX.COMPLIANCE@MESSER-BR.COM</v>
      </c>
      <c r="Q3" t="str">
        <f>_xlfn.XLOOKUP(empresas_identificadas_complementadas[[#This Row],[cnpj]],empresas_filtradas!A:A,empresas_filtradas!M:M)</f>
        <v>Não Planta</v>
      </c>
    </row>
    <row r="4" spans="1:17" x14ac:dyDescent="0.25">
      <c r="A4">
        <v>331788004530</v>
      </c>
      <c r="B4" t="s">
        <v>2</v>
      </c>
      <c r="C4" t="s">
        <v>739</v>
      </c>
      <c r="D4">
        <v>23570000</v>
      </c>
      <c r="E4" t="s">
        <v>27</v>
      </c>
      <c r="F4">
        <v>6001</v>
      </c>
      <c r="G4" t="s">
        <v>748</v>
      </c>
      <c r="H4" t="s">
        <v>749</v>
      </c>
      <c r="I4">
        <v>6.86</v>
      </c>
      <c r="J4">
        <v>-22.8952259</v>
      </c>
      <c r="K4">
        <v>-43.739815800000002</v>
      </c>
      <c r="L4" t="s">
        <v>742</v>
      </c>
      <c r="M4" t="s">
        <v>750</v>
      </c>
      <c r="N4" t="s">
        <v>27</v>
      </c>
      <c r="P4" t="str">
        <f>_xlfn.XLOOKUP(empresas_identificadas_complementadas[[#This Row],[cnpj]],empresas_filtradas[cnpj],empresas_filtradas[email])</f>
        <v>BRALB-PARALEGAL@AIRLIQUIDE.COM</v>
      </c>
      <c r="Q4" t="str">
        <f>_xlfn.XLOOKUP(empresas_identificadas_complementadas[[#This Row],[cnpj]],empresas_filtradas!A:A,empresas_filtradas!M:M)</f>
        <v>Potencial Planta</v>
      </c>
    </row>
    <row r="5" spans="1:17" x14ac:dyDescent="0.25">
      <c r="A5">
        <v>35820448019317</v>
      </c>
      <c r="B5" t="s">
        <v>2</v>
      </c>
      <c r="C5" t="s">
        <v>751</v>
      </c>
      <c r="D5">
        <v>13505645</v>
      </c>
      <c r="E5" t="s">
        <v>32</v>
      </c>
      <c r="F5">
        <v>6979</v>
      </c>
      <c r="G5" t="s">
        <v>752</v>
      </c>
      <c r="H5" t="s">
        <v>753</v>
      </c>
      <c r="I5">
        <v>55.96</v>
      </c>
      <c r="J5">
        <v>-22.410010799999998</v>
      </c>
      <c r="K5">
        <v>-47.560393300000001</v>
      </c>
      <c r="L5" t="s">
        <v>742</v>
      </c>
      <c r="M5" t="s">
        <v>754</v>
      </c>
      <c r="N5" t="s">
        <v>32</v>
      </c>
      <c r="O5" t="s">
        <v>755</v>
      </c>
      <c r="P5" t="str">
        <f>_xlfn.XLOOKUP(empresas_identificadas_complementadas[[#This Row],[cnpj]],empresas_filtradas[cnpj],empresas_filtradas[email])</f>
        <v>ATENDIMENTO@SAC.WHITEMARTINS.COM.BR</v>
      </c>
      <c r="Q5" t="str">
        <f>_xlfn.XLOOKUP(empresas_identificadas_complementadas[[#This Row],[cnpj]],empresas_filtradas!A:A,empresas_filtradas!M:M)</f>
        <v>Potencial Planta</v>
      </c>
    </row>
    <row r="6" spans="1:17" x14ac:dyDescent="0.25">
      <c r="A6">
        <v>43843358003023</v>
      </c>
      <c r="B6" t="s">
        <v>2</v>
      </c>
      <c r="C6" t="s">
        <v>744</v>
      </c>
      <c r="D6">
        <v>18278725</v>
      </c>
      <c r="E6" t="s">
        <v>32</v>
      </c>
      <c r="F6">
        <v>7181</v>
      </c>
      <c r="G6" t="s">
        <v>752</v>
      </c>
      <c r="H6" t="s">
        <v>753</v>
      </c>
      <c r="I6">
        <v>100.31</v>
      </c>
      <c r="J6">
        <v>-23.3489848</v>
      </c>
      <c r="K6">
        <v>-47.849016499999998</v>
      </c>
      <c r="L6" t="s">
        <v>742</v>
      </c>
      <c r="M6" t="s">
        <v>756</v>
      </c>
      <c r="N6" t="s">
        <v>32</v>
      </c>
      <c r="O6" t="s">
        <v>755</v>
      </c>
      <c r="P6" t="str">
        <f>_xlfn.XLOOKUP(empresas_identificadas_complementadas[[#This Row],[cnpj]],empresas_filtradas[cnpj],empresas_filtradas[email])</f>
        <v>IMPNFE@AIRPRODUCTS.COM</v>
      </c>
      <c r="Q6" t="str">
        <f>_xlfn.XLOOKUP(empresas_identificadas_complementadas[[#This Row],[cnpj]],empresas_filtradas!A:A,empresas_filtradas!M:M)</f>
        <v>Não Planta</v>
      </c>
    </row>
    <row r="7" spans="1:17" x14ac:dyDescent="0.25">
      <c r="A7">
        <v>331788005773</v>
      </c>
      <c r="B7" t="s">
        <v>2</v>
      </c>
      <c r="C7" t="s">
        <v>744</v>
      </c>
      <c r="D7">
        <v>71225526</v>
      </c>
      <c r="E7" t="s">
        <v>40</v>
      </c>
      <c r="F7">
        <v>9701</v>
      </c>
      <c r="G7" t="s">
        <v>745</v>
      </c>
      <c r="H7" t="s">
        <v>746</v>
      </c>
      <c r="I7">
        <v>439.6</v>
      </c>
      <c r="J7">
        <v>-15.7939869</v>
      </c>
      <c r="K7">
        <v>-47.882800000000003</v>
      </c>
      <c r="L7" t="s">
        <v>742</v>
      </c>
      <c r="M7" t="s">
        <v>757</v>
      </c>
      <c r="N7" t="s">
        <v>40</v>
      </c>
      <c r="O7" t="s">
        <v>755</v>
      </c>
      <c r="P7" t="str">
        <f>_xlfn.XLOOKUP(empresas_identificadas_complementadas[[#This Row],[cnpj]],empresas_filtradas[cnpj],empresas_filtradas[email])</f>
        <v>BRALB-PARALEGAL@AIRLIQUIDE.COM</v>
      </c>
      <c r="Q7" t="str">
        <f>_xlfn.XLOOKUP(empresas_identificadas_complementadas[[#This Row],[cnpj]],empresas_filtradas!A:A,empresas_filtradas!M:M)</f>
        <v>Não Planta</v>
      </c>
    </row>
    <row r="8" spans="1:17" x14ac:dyDescent="0.25">
      <c r="A8">
        <v>331788006230</v>
      </c>
      <c r="B8" t="s">
        <v>2</v>
      </c>
      <c r="C8" t="s">
        <v>744</v>
      </c>
      <c r="D8">
        <v>17034290</v>
      </c>
      <c r="E8" t="s">
        <v>32</v>
      </c>
      <c r="F8">
        <v>6219</v>
      </c>
      <c r="G8" t="s">
        <v>752</v>
      </c>
      <c r="H8" t="s">
        <v>753</v>
      </c>
      <c r="I8">
        <v>198.27</v>
      </c>
      <c r="J8">
        <v>-22.308489600000001</v>
      </c>
      <c r="K8">
        <v>-49.014040199999997</v>
      </c>
      <c r="L8" t="s">
        <v>742</v>
      </c>
      <c r="M8" t="s">
        <v>758</v>
      </c>
      <c r="N8" t="s">
        <v>32</v>
      </c>
      <c r="P8" t="str">
        <f>_xlfn.XLOOKUP(empresas_identificadas_complementadas[[#This Row],[cnpj]],empresas_filtradas[cnpj],empresas_filtradas[email])</f>
        <v>BRALB-PARALEGAL@AIRLIQUIDE.COM</v>
      </c>
      <c r="Q8" t="str">
        <f>_xlfn.XLOOKUP(empresas_identificadas_complementadas[[#This Row],[cnpj]],empresas_filtradas!A:A,empresas_filtradas!M:M)</f>
        <v>Não Planta</v>
      </c>
    </row>
    <row r="9" spans="1:17" x14ac:dyDescent="0.25">
      <c r="A9">
        <v>60619202002272</v>
      </c>
      <c r="B9" t="s">
        <v>2</v>
      </c>
      <c r="C9" t="s">
        <v>751</v>
      </c>
      <c r="D9">
        <v>42816140</v>
      </c>
      <c r="E9" t="s">
        <v>60</v>
      </c>
      <c r="F9">
        <v>3413</v>
      </c>
      <c r="G9" t="s">
        <v>759</v>
      </c>
      <c r="H9" t="s">
        <v>760</v>
      </c>
      <c r="I9">
        <v>3.35</v>
      </c>
      <c r="J9">
        <v>-12.6674855</v>
      </c>
      <c r="K9">
        <v>-38.314885799999999</v>
      </c>
      <c r="L9" t="s">
        <v>742</v>
      </c>
      <c r="M9" t="s">
        <v>761</v>
      </c>
      <c r="N9" t="s">
        <v>60</v>
      </c>
      <c r="P9" t="str">
        <f>_xlfn.XLOOKUP(empresas_identificadas_complementadas[[#This Row],[cnpj]],empresas_filtradas[cnpj],empresas_filtradas[email])</f>
        <v>TAX.COMPLIANCE@MESSER-BR.COM</v>
      </c>
      <c r="Q9" t="str">
        <f>_xlfn.XLOOKUP(empresas_identificadas_complementadas[[#This Row],[cnpj]],empresas_filtradas!A:A,empresas_filtradas!M:M)</f>
        <v>Potencial Planta</v>
      </c>
    </row>
    <row r="10" spans="1:17" x14ac:dyDescent="0.25">
      <c r="A10">
        <v>24380578005903</v>
      </c>
      <c r="B10" t="s">
        <v>2</v>
      </c>
      <c r="C10" t="s">
        <v>744</v>
      </c>
      <c r="D10">
        <v>79602970</v>
      </c>
      <c r="E10" t="s">
        <v>62</v>
      </c>
      <c r="F10">
        <v>9165</v>
      </c>
      <c r="G10" t="s">
        <v>745</v>
      </c>
      <c r="H10" t="s">
        <v>746</v>
      </c>
      <c r="I10">
        <v>408.82</v>
      </c>
      <c r="J10">
        <v>-20.7917299</v>
      </c>
      <c r="K10">
        <v>-51.696929099999998</v>
      </c>
      <c r="L10" t="s">
        <v>742</v>
      </c>
      <c r="M10" t="s">
        <v>762</v>
      </c>
      <c r="N10" t="s">
        <v>62</v>
      </c>
      <c r="P10" t="str">
        <f>_xlfn.XLOOKUP(empresas_identificadas_complementadas[[#This Row],[cnpj]],empresas_filtradas[cnpj],empresas_filtradas[email])</f>
        <v>ATENDIMENTO@SAC.WHITEMARTINS.COM.BR</v>
      </c>
      <c r="Q10" t="str">
        <f>_xlfn.XLOOKUP(empresas_identificadas_complementadas[[#This Row],[cnpj]],empresas_filtradas!A:A,empresas_filtradas!M:M)</f>
        <v>Não Planta</v>
      </c>
    </row>
    <row r="11" spans="1:17" x14ac:dyDescent="0.25">
      <c r="A11">
        <v>35820448021303</v>
      </c>
      <c r="B11" t="s">
        <v>2</v>
      </c>
      <c r="C11" t="s">
        <v>751</v>
      </c>
      <c r="D11">
        <v>13288172</v>
      </c>
      <c r="E11" t="s">
        <v>32</v>
      </c>
      <c r="F11">
        <v>7237</v>
      </c>
      <c r="G11" t="s">
        <v>752</v>
      </c>
      <c r="H11" t="s">
        <v>753</v>
      </c>
      <c r="I11">
        <v>37.49</v>
      </c>
      <c r="J11">
        <v>-23.029853500000002</v>
      </c>
      <c r="K11">
        <v>-46.9749847</v>
      </c>
      <c r="L11" t="s">
        <v>742</v>
      </c>
      <c r="M11" t="s">
        <v>763</v>
      </c>
      <c r="N11" t="s">
        <v>32</v>
      </c>
      <c r="O11" t="s">
        <v>755</v>
      </c>
      <c r="P11" t="str">
        <f>_xlfn.XLOOKUP(empresas_identificadas_complementadas[[#This Row],[cnpj]],empresas_filtradas[cnpj],empresas_filtradas[email])</f>
        <v>ATENDIMENTO@SAC.WHITEMARTINS.COM.BR</v>
      </c>
      <c r="Q11" t="str">
        <f>_xlfn.XLOOKUP(empresas_identificadas_complementadas[[#This Row],[cnpj]],empresas_filtradas!A:A,empresas_filtradas!M:M)</f>
        <v>Potencial Planta</v>
      </c>
    </row>
    <row r="12" spans="1:17" x14ac:dyDescent="0.25">
      <c r="A12">
        <v>35820448022024</v>
      </c>
      <c r="B12" t="s">
        <v>2</v>
      </c>
      <c r="C12" t="s">
        <v>751</v>
      </c>
      <c r="D12">
        <v>38490000</v>
      </c>
      <c r="E12" t="s">
        <v>17</v>
      </c>
      <c r="F12">
        <v>4613</v>
      </c>
      <c r="G12" t="s">
        <v>745</v>
      </c>
      <c r="H12" t="s">
        <v>746</v>
      </c>
      <c r="I12">
        <v>78.739999999999995</v>
      </c>
      <c r="J12">
        <v>-19.0391972</v>
      </c>
      <c r="K12">
        <v>-47.917843599999998</v>
      </c>
      <c r="L12" t="s">
        <v>742</v>
      </c>
      <c r="M12" t="s">
        <v>764</v>
      </c>
      <c r="N12" t="s">
        <v>17</v>
      </c>
      <c r="P12" t="str">
        <f>_xlfn.XLOOKUP(empresas_identificadas_complementadas[[#This Row],[cnpj]],empresas_filtradas[cnpj],empresas_filtradas[email])</f>
        <v>ATENDIMENTO@SAC.WHITEMARTINS.COM.BR</v>
      </c>
      <c r="Q12" t="str">
        <f>_xlfn.XLOOKUP(empresas_identificadas_complementadas[[#This Row],[cnpj]],empresas_filtradas!A:A,empresas_filtradas!M:M)</f>
        <v>Potencial Planta</v>
      </c>
    </row>
    <row r="13" spans="1:17" x14ac:dyDescent="0.25">
      <c r="A13">
        <v>45829243000175</v>
      </c>
      <c r="B13" t="s">
        <v>2</v>
      </c>
      <c r="D13">
        <v>36052590</v>
      </c>
      <c r="E13" t="s">
        <v>17</v>
      </c>
      <c r="F13">
        <v>4733</v>
      </c>
      <c r="G13" t="s">
        <v>765</v>
      </c>
      <c r="H13" t="s">
        <v>753</v>
      </c>
      <c r="I13">
        <v>106.93</v>
      </c>
      <c r="J13">
        <v>-21.760953300000001</v>
      </c>
      <c r="K13">
        <v>-43.350112899999999</v>
      </c>
      <c r="L13" t="s">
        <v>742</v>
      </c>
      <c r="M13" t="s">
        <v>766</v>
      </c>
      <c r="N13" t="s">
        <v>17</v>
      </c>
      <c r="O13" t="s">
        <v>755</v>
      </c>
      <c r="P13" t="str">
        <f>_xlfn.XLOOKUP(empresas_identificadas_complementadas[[#This Row],[cnpj]],empresas_filtradas[cnpj],empresas_filtradas[email])</f>
        <v>CONTABILIDADE@KSCONTABIL.COM.BR</v>
      </c>
      <c r="Q13" t="str">
        <f>_xlfn.XLOOKUP(empresas_identificadas_complementadas[[#This Row],[cnpj]],empresas_filtradas!A:A,empresas_filtradas!M:M)</f>
        <v>Sem Relação</v>
      </c>
    </row>
    <row r="14" spans="1:17" x14ac:dyDescent="0.25">
      <c r="A14">
        <v>54443328000101</v>
      </c>
      <c r="B14" t="s">
        <v>2</v>
      </c>
      <c r="D14">
        <v>64200970</v>
      </c>
      <c r="E14" t="s">
        <v>87</v>
      </c>
      <c r="F14">
        <v>1153</v>
      </c>
      <c r="G14" t="s">
        <v>767</v>
      </c>
      <c r="H14" t="s">
        <v>768</v>
      </c>
      <c r="I14">
        <v>335.57</v>
      </c>
      <c r="J14">
        <v>-2.9147514999999999</v>
      </c>
      <c r="K14">
        <v>-41.7661953</v>
      </c>
      <c r="L14" t="s">
        <v>742</v>
      </c>
      <c r="M14" t="s">
        <v>769</v>
      </c>
      <c r="N14" t="s">
        <v>87</v>
      </c>
      <c r="O14" t="s">
        <v>755</v>
      </c>
      <c r="P14" t="str">
        <f>_xlfn.XLOOKUP(empresas_identificadas_complementadas[[#This Row],[cnpj]],empresas_filtradas[cnpj],empresas_filtradas[email])</f>
        <v>INFO@GEP-GLOBAL.COM</v>
      </c>
      <c r="Q14" t="str">
        <f>_xlfn.XLOOKUP(empresas_identificadas_complementadas[[#This Row],[cnpj]],empresas_filtradas!A:A,empresas_filtradas!M:M)</f>
        <v>Conceito de Planta</v>
      </c>
    </row>
    <row r="15" spans="1:17" x14ac:dyDescent="0.25">
      <c r="A15">
        <v>331788010939</v>
      </c>
      <c r="B15" t="s">
        <v>2</v>
      </c>
      <c r="C15" t="s">
        <v>739</v>
      </c>
      <c r="D15">
        <v>42813760</v>
      </c>
      <c r="E15" t="s">
        <v>60</v>
      </c>
      <c r="F15">
        <v>3413</v>
      </c>
      <c r="G15" t="s">
        <v>759</v>
      </c>
      <c r="H15" t="s">
        <v>760</v>
      </c>
      <c r="I15">
        <v>0.48</v>
      </c>
      <c r="J15">
        <v>-12.699818799999999</v>
      </c>
      <c r="K15">
        <v>-38.326076200000003</v>
      </c>
      <c r="L15" t="s">
        <v>742</v>
      </c>
      <c r="M15" t="s">
        <v>761</v>
      </c>
      <c r="N15" t="s">
        <v>60</v>
      </c>
      <c r="O15" t="s">
        <v>755</v>
      </c>
      <c r="P15" t="str">
        <f>_xlfn.XLOOKUP(empresas_identificadas_complementadas[[#This Row],[cnpj]],empresas_filtradas[cnpj],empresas_filtradas[email])</f>
        <v>BRALB-PARALEGAL@AIRLIQUIDE.COM</v>
      </c>
      <c r="Q15" t="str">
        <f>_xlfn.XLOOKUP(empresas_identificadas_complementadas[[#This Row],[cnpj]],empresas_filtradas!A:A,empresas_filtradas!M:M)</f>
        <v>Não Planta</v>
      </c>
    </row>
    <row r="16" spans="1:17" x14ac:dyDescent="0.25">
      <c r="A16">
        <v>331788000623</v>
      </c>
      <c r="B16" t="s">
        <v>2</v>
      </c>
      <c r="C16" t="s">
        <v>751</v>
      </c>
      <c r="D16">
        <v>26110100</v>
      </c>
      <c r="E16" t="s">
        <v>27</v>
      </c>
      <c r="F16">
        <v>2909</v>
      </c>
      <c r="G16" t="s">
        <v>765</v>
      </c>
      <c r="H16" t="s">
        <v>753</v>
      </c>
      <c r="I16">
        <v>10.56</v>
      </c>
      <c r="J16">
        <v>-22.7601914</v>
      </c>
      <c r="K16">
        <v>-43.365954199999997</v>
      </c>
      <c r="L16" t="s">
        <v>742</v>
      </c>
      <c r="M16" t="s">
        <v>770</v>
      </c>
      <c r="N16" t="s">
        <v>27</v>
      </c>
      <c r="P16" t="str">
        <f>_xlfn.XLOOKUP(empresas_identificadas_complementadas[[#This Row],[cnpj]],empresas_filtradas[cnpj],empresas_filtradas[email])</f>
        <v>BRALB-PARALEGAL@AIRLIQUIDE.COM</v>
      </c>
      <c r="Q16" t="str">
        <f>_xlfn.XLOOKUP(empresas_identificadas_complementadas[[#This Row],[cnpj]],empresas_filtradas!A:A,empresas_filtradas!M:M)</f>
        <v>Potencial Planta</v>
      </c>
    </row>
    <row r="17" spans="1:17" x14ac:dyDescent="0.25">
      <c r="A17">
        <v>35820448006410</v>
      </c>
      <c r="B17" t="s">
        <v>2</v>
      </c>
      <c r="C17" t="s">
        <v>751</v>
      </c>
      <c r="D17">
        <v>95840000</v>
      </c>
      <c r="E17" t="s">
        <v>117</v>
      </c>
      <c r="F17">
        <v>8943</v>
      </c>
      <c r="G17" t="s">
        <v>771</v>
      </c>
      <c r="H17" t="s">
        <v>760</v>
      </c>
      <c r="I17">
        <v>32.83</v>
      </c>
      <c r="J17">
        <v>-29.940797199999999</v>
      </c>
      <c r="K17">
        <v>-51.719185899999999</v>
      </c>
      <c r="L17" t="s">
        <v>742</v>
      </c>
      <c r="M17" t="s">
        <v>772</v>
      </c>
      <c r="N17" t="s">
        <v>117</v>
      </c>
      <c r="P17" t="str">
        <f>_xlfn.XLOOKUP(empresas_identificadas_complementadas[[#This Row],[cnpj]],empresas_filtradas[cnpj],empresas_filtradas[email])</f>
        <v>ATENDIMENTO@SAC.WHITEMARTINS.COM.BR</v>
      </c>
      <c r="Q17" t="str">
        <f>_xlfn.XLOOKUP(empresas_identificadas_complementadas[[#This Row],[cnpj]],empresas_filtradas!A:A,empresas_filtradas!M:M)</f>
        <v>Potencial Planta</v>
      </c>
    </row>
    <row r="18" spans="1:17" x14ac:dyDescent="0.25">
      <c r="A18">
        <v>35820448010360</v>
      </c>
      <c r="B18" t="s">
        <v>2</v>
      </c>
      <c r="C18" t="s">
        <v>751</v>
      </c>
      <c r="D18">
        <v>13212240</v>
      </c>
      <c r="E18" t="s">
        <v>32</v>
      </c>
      <c r="F18">
        <v>6619</v>
      </c>
      <c r="G18" t="s">
        <v>752</v>
      </c>
      <c r="H18" t="s">
        <v>753</v>
      </c>
      <c r="I18">
        <v>57.43</v>
      </c>
      <c r="J18">
        <v>-23.1887668</v>
      </c>
      <c r="K18">
        <v>-46.884506000000002</v>
      </c>
      <c r="L18" t="s">
        <v>742</v>
      </c>
      <c r="M18" t="s">
        <v>773</v>
      </c>
      <c r="N18" t="s">
        <v>32</v>
      </c>
      <c r="O18" t="s">
        <v>755</v>
      </c>
      <c r="P18" t="str">
        <f>_xlfn.XLOOKUP(empresas_identificadas_complementadas[[#This Row],[cnpj]],empresas_filtradas[cnpj],empresas_filtradas[email])</f>
        <v>ATENDIMENTO@SAC.WHITEMARTINS.COM.BR</v>
      </c>
      <c r="Q18" t="str">
        <f>_xlfn.XLOOKUP(empresas_identificadas_complementadas[[#This Row],[cnpj]],empresas_filtradas!A:A,empresas_filtradas!M:M)</f>
        <v>Potencial Planta</v>
      </c>
    </row>
    <row r="19" spans="1:17" x14ac:dyDescent="0.25">
      <c r="A19">
        <v>35820448015915</v>
      </c>
      <c r="B19" t="s">
        <v>2</v>
      </c>
      <c r="C19" t="s">
        <v>751</v>
      </c>
      <c r="D19">
        <v>13473625</v>
      </c>
      <c r="E19" t="s">
        <v>32</v>
      </c>
      <c r="F19">
        <v>6131</v>
      </c>
      <c r="G19" t="s">
        <v>752</v>
      </c>
      <c r="H19" t="s">
        <v>753</v>
      </c>
      <c r="I19">
        <v>19.79</v>
      </c>
      <c r="J19">
        <v>-22.739246300000001</v>
      </c>
      <c r="K19">
        <v>-47.330603199999999</v>
      </c>
      <c r="L19" t="s">
        <v>742</v>
      </c>
      <c r="M19" t="s">
        <v>774</v>
      </c>
      <c r="N19" t="s">
        <v>32</v>
      </c>
      <c r="O19" t="s">
        <v>755</v>
      </c>
      <c r="P19" t="str">
        <f>_xlfn.XLOOKUP(empresas_identificadas_complementadas[[#This Row],[cnpj]],empresas_filtradas[cnpj],empresas_filtradas[email])</f>
        <v>ATENDIMENTO@SAC.WHITEMARTINS.COM.BR</v>
      </c>
      <c r="Q19" t="str">
        <f>_xlfn.XLOOKUP(empresas_identificadas_complementadas[[#This Row],[cnpj]],empresas_filtradas!A:A,empresas_filtradas!M:M)</f>
        <v>Potencial Planta</v>
      </c>
    </row>
    <row r="20" spans="1:17" x14ac:dyDescent="0.25">
      <c r="A20">
        <v>35820448017454</v>
      </c>
      <c r="B20" t="s">
        <v>2</v>
      </c>
      <c r="C20" t="s">
        <v>751</v>
      </c>
      <c r="D20">
        <v>11573900</v>
      </c>
      <c r="E20" t="s">
        <v>32</v>
      </c>
      <c r="F20">
        <v>6371</v>
      </c>
      <c r="G20" t="s">
        <v>775</v>
      </c>
      <c r="H20" t="s">
        <v>776</v>
      </c>
      <c r="I20">
        <v>1.64</v>
      </c>
      <c r="J20">
        <v>-23.884207700000001</v>
      </c>
      <c r="K20">
        <v>-46.421306100000002</v>
      </c>
      <c r="L20" t="s">
        <v>742</v>
      </c>
      <c r="M20" t="s">
        <v>777</v>
      </c>
      <c r="N20" t="s">
        <v>32</v>
      </c>
      <c r="O20" t="s">
        <v>755</v>
      </c>
      <c r="P20" t="str">
        <f>_xlfn.XLOOKUP(empresas_identificadas_complementadas[[#This Row],[cnpj]],empresas_filtradas[cnpj],empresas_filtradas[email])</f>
        <v>ATENDIMENTO@SAC.WHITEMARTINS.COM.BR</v>
      </c>
      <c r="Q20" t="str">
        <f>_xlfn.XLOOKUP(empresas_identificadas_complementadas[[#This Row],[cnpj]],empresas_filtradas!A:A,empresas_filtradas!M:M)</f>
        <v>Potencial Planta</v>
      </c>
    </row>
    <row r="21" spans="1:17" x14ac:dyDescent="0.25">
      <c r="A21">
        <v>2605266000355</v>
      </c>
      <c r="B21" t="s">
        <v>2</v>
      </c>
      <c r="C21" t="s">
        <v>751</v>
      </c>
      <c r="D21">
        <v>29092300</v>
      </c>
      <c r="E21" t="s">
        <v>49</v>
      </c>
      <c r="F21">
        <v>5705</v>
      </c>
      <c r="G21" t="s">
        <v>778</v>
      </c>
      <c r="H21" t="s">
        <v>779</v>
      </c>
      <c r="I21">
        <v>2.2599999999999998</v>
      </c>
      <c r="J21">
        <v>-20.2539254</v>
      </c>
      <c r="K21">
        <v>-40.243475099999998</v>
      </c>
      <c r="L21" t="s">
        <v>742</v>
      </c>
      <c r="M21" t="s">
        <v>780</v>
      </c>
      <c r="N21" t="s">
        <v>49</v>
      </c>
      <c r="P21" t="str">
        <f>_xlfn.XLOOKUP(empresas_identificadas_complementadas[[#This Row],[cnpj]],empresas_filtradas[cnpj],empresas_filtradas[email])</f>
        <v>TAX.COMPLIANCE@MESSER-BR.COM</v>
      </c>
      <c r="Q21" t="str">
        <f>_xlfn.XLOOKUP(empresas_identificadas_complementadas[[#This Row],[cnpj]],empresas_filtradas!A:A,empresas_filtradas!M:M)</f>
        <v>Potencial Planta</v>
      </c>
    </row>
    <row r="22" spans="1:17" x14ac:dyDescent="0.25">
      <c r="A22">
        <v>24380578000260</v>
      </c>
      <c r="B22" t="s">
        <v>2</v>
      </c>
      <c r="C22" t="s">
        <v>751</v>
      </c>
      <c r="D22">
        <v>57055000</v>
      </c>
      <c r="E22" t="s">
        <v>19</v>
      </c>
      <c r="F22">
        <v>2785</v>
      </c>
      <c r="G22" t="s">
        <v>740</v>
      </c>
      <c r="H22" t="s">
        <v>741</v>
      </c>
      <c r="I22">
        <v>18.91</v>
      </c>
      <c r="J22">
        <v>-9.6500547999999995</v>
      </c>
      <c r="K22">
        <v>-35.733559700000001</v>
      </c>
      <c r="L22" t="s">
        <v>742</v>
      </c>
      <c r="M22" t="s">
        <v>743</v>
      </c>
      <c r="N22" t="s">
        <v>19</v>
      </c>
      <c r="P22" t="str">
        <f>_xlfn.XLOOKUP(empresas_identificadas_complementadas[[#This Row],[cnpj]],empresas_filtradas[cnpj],empresas_filtradas[email])</f>
        <v>ATENDIMENTO@SAC.WHITEMARTINS.COM.BR</v>
      </c>
      <c r="Q22" t="str">
        <f>_xlfn.XLOOKUP(empresas_identificadas_complementadas[[#This Row],[cnpj]],empresas_filtradas!A:A,empresas_filtradas!M:M)</f>
        <v>Potencial Planta</v>
      </c>
    </row>
    <row r="23" spans="1:17" x14ac:dyDescent="0.25">
      <c r="A23">
        <v>67423152000178</v>
      </c>
      <c r="B23" t="s">
        <v>2</v>
      </c>
      <c r="C23" t="s">
        <v>751</v>
      </c>
      <c r="D23">
        <v>13213009</v>
      </c>
      <c r="E23" t="s">
        <v>32</v>
      </c>
      <c r="F23">
        <v>6619</v>
      </c>
      <c r="G23" t="s">
        <v>752</v>
      </c>
      <c r="H23" t="s">
        <v>753</v>
      </c>
      <c r="I23">
        <v>53.41</v>
      </c>
      <c r="J23">
        <v>-23.170018299999999</v>
      </c>
      <c r="K23">
        <v>-46.933903399999998</v>
      </c>
      <c r="L23" t="s">
        <v>742</v>
      </c>
      <c r="M23" t="s">
        <v>773</v>
      </c>
      <c r="N23" t="s">
        <v>32</v>
      </c>
      <c r="P23" t="str">
        <f>_xlfn.XLOOKUP(empresas_identificadas_complementadas[[#This Row],[cnpj]],empresas_filtradas[cnpj],empresas_filtradas[email])</f>
        <v>IBG@IBG.COM.BR</v>
      </c>
      <c r="Q23" t="str">
        <f>_xlfn.XLOOKUP(empresas_identificadas_complementadas[[#This Row],[cnpj]],empresas_filtradas!A:A,empresas_filtradas!M:M)</f>
        <v>Relação</v>
      </c>
    </row>
    <row r="24" spans="1:17" x14ac:dyDescent="0.25">
      <c r="A24">
        <v>24380578004176</v>
      </c>
      <c r="B24" t="s">
        <v>2</v>
      </c>
      <c r="C24" t="s">
        <v>751</v>
      </c>
      <c r="D24">
        <v>49170000</v>
      </c>
      <c r="E24" t="s">
        <v>133</v>
      </c>
      <c r="F24">
        <v>3171</v>
      </c>
      <c r="G24" t="s">
        <v>781</v>
      </c>
      <c r="H24" t="s">
        <v>782</v>
      </c>
      <c r="I24">
        <v>0.36</v>
      </c>
      <c r="J24">
        <v>-10.8040231</v>
      </c>
      <c r="K24">
        <v>-37.165833599999999</v>
      </c>
      <c r="L24" t="s">
        <v>742</v>
      </c>
      <c r="M24" t="s">
        <v>783</v>
      </c>
      <c r="N24" t="s">
        <v>133</v>
      </c>
      <c r="P24" t="str">
        <f>_xlfn.XLOOKUP(empresas_identificadas_complementadas[[#This Row],[cnpj]],empresas_filtradas[cnpj],empresas_filtradas[email])</f>
        <v>ATENDIMENTO@SAC.WHITEMARTINS.COM.BR</v>
      </c>
      <c r="Q24" t="str">
        <f>_xlfn.XLOOKUP(empresas_identificadas_complementadas[[#This Row],[cnpj]],empresas_filtradas!A:A,empresas_filtradas!M:M)</f>
        <v>Potencial Planta</v>
      </c>
    </row>
    <row r="25" spans="1:17" x14ac:dyDescent="0.25">
      <c r="A25">
        <v>24380578000936</v>
      </c>
      <c r="B25" t="s">
        <v>2</v>
      </c>
      <c r="C25" t="s">
        <v>751</v>
      </c>
      <c r="D25">
        <v>42810000</v>
      </c>
      <c r="E25" t="s">
        <v>60</v>
      </c>
      <c r="F25">
        <v>3413</v>
      </c>
      <c r="G25" t="s">
        <v>759</v>
      </c>
      <c r="H25" t="s">
        <v>760</v>
      </c>
      <c r="I25">
        <v>0.15</v>
      </c>
      <c r="J25">
        <v>-12.6975</v>
      </c>
      <c r="K25">
        <v>-38.324170000000002</v>
      </c>
      <c r="L25" t="s">
        <v>864</v>
      </c>
      <c r="M25" t="s">
        <v>761</v>
      </c>
      <c r="N25" t="s">
        <v>60</v>
      </c>
      <c r="P25" t="str">
        <f>_xlfn.XLOOKUP(empresas_identificadas_complementadas[[#This Row],[cnpj]],empresas_filtradas[cnpj],empresas_filtradas[email])</f>
        <v>ATENDIMENTO@SAC.WHITEMARTINS.COM.BR</v>
      </c>
      <c r="Q25" t="str">
        <f>_xlfn.XLOOKUP(empresas_identificadas_complementadas[[#This Row],[cnpj]],empresas_filtradas!A:A,empresas_filtradas!M:M)</f>
        <v>Potencial Planta</v>
      </c>
    </row>
    <row r="26" spans="1:17" x14ac:dyDescent="0.25">
      <c r="A26">
        <v>34597955002648</v>
      </c>
      <c r="B26" t="s">
        <v>2</v>
      </c>
      <c r="C26" t="s">
        <v>751</v>
      </c>
      <c r="D26">
        <v>68448000</v>
      </c>
      <c r="E26" t="s">
        <v>78</v>
      </c>
      <c r="F26">
        <v>425</v>
      </c>
      <c r="G26" t="s">
        <v>784</v>
      </c>
      <c r="H26" t="s">
        <v>785</v>
      </c>
      <c r="I26">
        <v>3</v>
      </c>
      <c r="J26">
        <v>-1.5679371</v>
      </c>
      <c r="K26">
        <v>-48.758282600000001</v>
      </c>
      <c r="L26" t="s">
        <v>742</v>
      </c>
      <c r="M26" t="s">
        <v>786</v>
      </c>
      <c r="N26" t="s">
        <v>78</v>
      </c>
      <c r="P26" t="str">
        <f>_xlfn.XLOOKUP(empresas_identificadas_complementadas[[#This Row],[cnpj]],empresas_filtradas[cnpj],empresas_filtradas[email])</f>
        <v>ATENDIMENTO@SAC.WHITEMARTINS.COM.BR</v>
      </c>
      <c r="Q26" t="str">
        <f>_xlfn.XLOOKUP(empresas_identificadas_complementadas[[#This Row],[cnpj]],empresas_filtradas!A:A,empresas_filtradas!M:M)</f>
        <v>Potencial Planta</v>
      </c>
    </row>
    <row r="27" spans="1:17" x14ac:dyDescent="0.25">
      <c r="A27">
        <v>35820448003909</v>
      </c>
      <c r="B27" t="s">
        <v>2</v>
      </c>
      <c r="C27" t="s">
        <v>744</v>
      </c>
      <c r="D27">
        <v>38402324</v>
      </c>
      <c r="E27" t="s">
        <v>17</v>
      </c>
      <c r="F27">
        <v>5403</v>
      </c>
      <c r="G27" t="s">
        <v>745</v>
      </c>
      <c r="H27" t="s">
        <v>746</v>
      </c>
      <c r="I27">
        <v>98.68</v>
      </c>
      <c r="J27">
        <v>-18.918804099999999</v>
      </c>
      <c r="K27">
        <v>-48.276783700000003</v>
      </c>
      <c r="L27" t="s">
        <v>742</v>
      </c>
      <c r="M27" t="s">
        <v>787</v>
      </c>
      <c r="N27" t="s">
        <v>17</v>
      </c>
      <c r="O27" t="s">
        <v>755</v>
      </c>
      <c r="P27" t="str">
        <f>_xlfn.XLOOKUP(empresas_identificadas_complementadas[[#This Row],[cnpj]],empresas_filtradas[cnpj],empresas_filtradas[email])</f>
        <v>ATENDIMENTO@SAC.WHITEMARTINS.COM.BR</v>
      </c>
      <c r="Q27" t="str">
        <f>_xlfn.XLOOKUP(empresas_identificadas_complementadas[[#This Row],[cnpj]],empresas_filtradas!A:A,empresas_filtradas!M:M)</f>
        <v>Não Planta</v>
      </c>
    </row>
    <row r="28" spans="1:17" x14ac:dyDescent="0.25">
      <c r="A28">
        <v>60619202001624</v>
      </c>
      <c r="B28" t="s">
        <v>2</v>
      </c>
      <c r="C28" t="s">
        <v>751</v>
      </c>
      <c r="D28">
        <v>32210120</v>
      </c>
      <c r="E28" t="s">
        <v>17</v>
      </c>
      <c r="F28">
        <v>4371</v>
      </c>
      <c r="G28" t="s">
        <v>788</v>
      </c>
      <c r="H28" t="s">
        <v>789</v>
      </c>
      <c r="I28">
        <v>3.3</v>
      </c>
      <c r="J28">
        <v>-19.961947200000001</v>
      </c>
      <c r="K28">
        <v>-44.030128400000002</v>
      </c>
      <c r="L28" t="s">
        <v>742</v>
      </c>
      <c r="M28" t="s">
        <v>790</v>
      </c>
      <c r="N28" t="s">
        <v>17</v>
      </c>
      <c r="P28" t="str">
        <f>_xlfn.XLOOKUP(empresas_identificadas_complementadas[[#This Row],[cnpj]],empresas_filtradas[cnpj],empresas_filtradas[email])</f>
        <v>TAX.COMPLIANCE@MESSER-BR.COM</v>
      </c>
      <c r="Q28" t="str">
        <f>_xlfn.XLOOKUP(empresas_identificadas_complementadas[[#This Row],[cnpj]],empresas_filtradas!A:A,empresas_filtradas!M:M)</f>
        <v>Potencial Planta</v>
      </c>
    </row>
    <row r="29" spans="1:17" x14ac:dyDescent="0.25">
      <c r="A29">
        <v>35820448009940</v>
      </c>
      <c r="B29" t="s">
        <v>2</v>
      </c>
      <c r="C29" t="s">
        <v>751</v>
      </c>
      <c r="D29">
        <v>13412201</v>
      </c>
      <c r="E29" t="s">
        <v>32</v>
      </c>
      <c r="F29">
        <v>6875</v>
      </c>
      <c r="G29" t="s">
        <v>752</v>
      </c>
      <c r="H29" t="s">
        <v>753</v>
      </c>
      <c r="I29">
        <v>52.44</v>
      </c>
      <c r="J29">
        <v>-22.725165000000001</v>
      </c>
      <c r="K29">
        <v>-47.649326899999998</v>
      </c>
      <c r="L29" t="s">
        <v>742</v>
      </c>
      <c r="M29" t="s">
        <v>791</v>
      </c>
      <c r="N29" t="s">
        <v>32</v>
      </c>
      <c r="O29" t="s">
        <v>755</v>
      </c>
      <c r="P29" t="str">
        <f>_xlfn.XLOOKUP(empresas_identificadas_complementadas[[#This Row],[cnpj]],empresas_filtradas[cnpj],empresas_filtradas[email])</f>
        <v>ATENDIMENTO@SAC.WHITEMARTINS.COM.BR</v>
      </c>
      <c r="Q29" t="str">
        <f>_xlfn.XLOOKUP(empresas_identificadas_complementadas[[#This Row],[cnpj]],empresas_filtradas!A:A,empresas_filtradas!M:M)</f>
        <v>Potencial Planta</v>
      </c>
    </row>
    <row r="30" spans="1:17" x14ac:dyDescent="0.25">
      <c r="A30">
        <v>35820448019821</v>
      </c>
      <c r="B30" t="s">
        <v>2</v>
      </c>
      <c r="C30" t="s">
        <v>744</v>
      </c>
      <c r="D30">
        <v>79600001</v>
      </c>
      <c r="E30" t="s">
        <v>62</v>
      </c>
      <c r="F30">
        <v>9165</v>
      </c>
      <c r="G30" t="s">
        <v>745</v>
      </c>
      <c r="H30" t="s">
        <v>746</v>
      </c>
      <c r="I30">
        <v>409.63</v>
      </c>
      <c r="J30">
        <v>-20.780741500000001</v>
      </c>
      <c r="K30">
        <v>-51.708283199999997</v>
      </c>
      <c r="L30" t="s">
        <v>742</v>
      </c>
      <c r="M30" t="s">
        <v>762</v>
      </c>
      <c r="N30" t="s">
        <v>62</v>
      </c>
      <c r="P30" t="str">
        <f>_xlfn.XLOOKUP(empresas_identificadas_complementadas[[#This Row],[cnpj]],empresas_filtradas[cnpj],empresas_filtradas[email])</f>
        <v>ATENDIMENTO@SAC.WHITEMARTINS.COM.BR</v>
      </c>
      <c r="Q30" t="str">
        <f>_xlfn.XLOOKUP(empresas_identificadas_complementadas[[#This Row],[cnpj]],empresas_filtradas!A:A,empresas_filtradas!M:M)</f>
        <v>Não Planta</v>
      </c>
    </row>
    <row r="31" spans="1:17" x14ac:dyDescent="0.25">
      <c r="A31">
        <v>331788006150</v>
      </c>
      <c r="B31" t="s">
        <v>2</v>
      </c>
      <c r="C31" t="s">
        <v>744</v>
      </c>
      <c r="D31">
        <v>15076080</v>
      </c>
      <c r="E31" t="s">
        <v>32</v>
      </c>
      <c r="F31">
        <v>7097</v>
      </c>
      <c r="G31" t="s">
        <v>745</v>
      </c>
      <c r="H31" t="s">
        <v>746</v>
      </c>
      <c r="I31">
        <v>190.42</v>
      </c>
      <c r="J31">
        <v>-20.8255786</v>
      </c>
      <c r="K31">
        <v>-49.357103000000002</v>
      </c>
      <c r="L31" t="s">
        <v>742</v>
      </c>
      <c r="M31" t="s">
        <v>792</v>
      </c>
      <c r="N31" t="s">
        <v>32</v>
      </c>
      <c r="P31" t="str">
        <f>_xlfn.XLOOKUP(empresas_identificadas_complementadas[[#This Row],[cnpj]],empresas_filtradas[cnpj],empresas_filtradas[email])</f>
        <v>BRALB-PARALEGAL@AIRLIQUIDE.COM</v>
      </c>
      <c r="Q31" t="str">
        <f>_xlfn.XLOOKUP(empresas_identificadas_complementadas[[#This Row],[cnpj]],empresas_filtradas!A:A,empresas_filtradas!M:M)</f>
        <v>Não Planta</v>
      </c>
    </row>
    <row r="32" spans="1:17" x14ac:dyDescent="0.25">
      <c r="A32">
        <v>43843358003457</v>
      </c>
      <c r="B32" t="s">
        <v>2</v>
      </c>
      <c r="C32" t="s">
        <v>744</v>
      </c>
      <c r="D32">
        <v>12523671</v>
      </c>
      <c r="E32" t="s">
        <v>32</v>
      </c>
      <c r="F32">
        <v>6469</v>
      </c>
      <c r="G32" t="s">
        <v>793</v>
      </c>
      <c r="H32" t="s">
        <v>794</v>
      </c>
      <c r="I32">
        <v>96.72</v>
      </c>
      <c r="J32">
        <v>-22.805783900000002</v>
      </c>
      <c r="K32">
        <v>-45.190892599999998</v>
      </c>
      <c r="L32" t="s">
        <v>742</v>
      </c>
      <c r="M32" t="s">
        <v>795</v>
      </c>
      <c r="N32" t="s">
        <v>32</v>
      </c>
      <c r="O32" t="s">
        <v>755</v>
      </c>
      <c r="P32" t="str">
        <f>_xlfn.XLOOKUP(empresas_identificadas_complementadas[[#This Row],[cnpj]],empresas_filtradas[cnpj],empresas_filtradas[email])</f>
        <v>IMPNFE@AIRPRODUCTS.COM</v>
      </c>
      <c r="Q32" t="str">
        <f>_xlfn.XLOOKUP(empresas_identificadas_complementadas[[#This Row],[cnpj]],empresas_filtradas!A:A,empresas_filtradas!M:M)</f>
        <v>Planta</v>
      </c>
    </row>
    <row r="33" spans="1:17" x14ac:dyDescent="0.25">
      <c r="A33">
        <v>24380578006543</v>
      </c>
      <c r="B33" t="s">
        <v>2</v>
      </c>
      <c r="C33" t="s">
        <v>744</v>
      </c>
      <c r="D33">
        <v>55900000</v>
      </c>
      <c r="E33" t="s">
        <v>92</v>
      </c>
      <c r="F33">
        <v>2423</v>
      </c>
      <c r="G33" t="s">
        <v>796</v>
      </c>
      <c r="H33" t="s">
        <v>768</v>
      </c>
      <c r="I33">
        <v>93.2</v>
      </c>
      <c r="J33">
        <v>-7.5606030000000004</v>
      </c>
      <c r="K33">
        <v>-34.995910000000002</v>
      </c>
      <c r="L33" t="s">
        <v>742</v>
      </c>
      <c r="M33" t="s">
        <v>797</v>
      </c>
      <c r="N33" t="s">
        <v>92</v>
      </c>
      <c r="P33" t="str">
        <f>_xlfn.XLOOKUP(empresas_identificadas_complementadas[[#This Row],[cnpj]],empresas_filtradas[cnpj],empresas_filtradas[email])</f>
        <v>ATENDIMENTO@SAC.WHITEMARTINS.COM.BR</v>
      </c>
      <c r="Q33" t="str">
        <f>_xlfn.XLOOKUP(empresas_identificadas_complementadas[[#This Row],[cnpj]],empresas_filtradas!A:A,empresas_filtradas!M:M)</f>
        <v>Não Planta</v>
      </c>
    </row>
    <row r="34" spans="1:17" x14ac:dyDescent="0.25">
      <c r="A34">
        <v>35820448020676</v>
      </c>
      <c r="B34" t="s">
        <v>2</v>
      </c>
      <c r="C34" t="s">
        <v>751</v>
      </c>
      <c r="D34">
        <v>8613370</v>
      </c>
      <c r="E34" t="s">
        <v>32</v>
      </c>
      <c r="F34">
        <v>7151</v>
      </c>
      <c r="G34" t="s">
        <v>798</v>
      </c>
      <c r="H34" t="s">
        <v>799</v>
      </c>
      <c r="I34">
        <v>23.38</v>
      </c>
      <c r="J34">
        <v>-23.539271599999999</v>
      </c>
      <c r="K34">
        <v>-46.282106900000002</v>
      </c>
      <c r="L34" t="s">
        <v>742</v>
      </c>
      <c r="M34" t="s">
        <v>800</v>
      </c>
      <c r="N34" t="s">
        <v>32</v>
      </c>
      <c r="P34" t="str">
        <f>_xlfn.XLOOKUP(empresas_identificadas_complementadas[[#This Row],[cnpj]],empresas_filtradas[cnpj],empresas_filtradas[email])</f>
        <v>ATENDIMENTO@SAC.WHITEMARTINS.COM.BR</v>
      </c>
      <c r="Q34" t="str">
        <f>_xlfn.XLOOKUP(empresas_identificadas_complementadas[[#This Row],[cnpj]],empresas_filtradas!A:A,empresas_filtradas!M:M)</f>
        <v>Potencial Planta</v>
      </c>
    </row>
    <row r="35" spans="1:17" x14ac:dyDescent="0.25">
      <c r="A35">
        <v>35820448021052</v>
      </c>
      <c r="B35" t="s">
        <v>2</v>
      </c>
      <c r="C35" t="s">
        <v>744</v>
      </c>
      <c r="D35">
        <v>79641300</v>
      </c>
      <c r="E35" t="s">
        <v>62</v>
      </c>
      <c r="F35">
        <v>9165</v>
      </c>
      <c r="G35" t="s">
        <v>745</v>
      </c>
      <c r="H35" t="s">
        <v>746</v>
      </c>
      <c r="I35">
        <v>409.34</v>
      </c>
      <c r="J35">
        <v>-20.787649999999999</v>
      </c>
      <c r="K35">
        <v>-51.703380000000003</v>
      </c>
      <c r="L35" t="s">
        <v>864</v>
      </c>
      <c r="M35" t="s">
        <v>762</v>
      </c>
      <c r="N35" t="s">
        <v>62</v>
      </c>
      <c r="P35" t="str">
        <f>_xlfn.XLOOKUP(empresas_identificadas_complementadas[[#This Row],[cnpj]],empresas_filtradas[cnpj],empresas_filtradas[email])</f>
        <v>ATENDIMENTO@SAC.WHITEMARTINS.COM.BR</v>
      </c>
      <c r="Q35" t="str">
        <f>_xlfn.XLOOKUP(empresas_identificadas_complementadas[[#This Row],[cnpj]],empresas_filtradas!A:A,empresas_filtradas!M:M)</f>
        <v>Não Planta</v>
      </c>
    </row>
    <row r="36" spans="1:17" x14ac:dyDescent="0.25">
      <c r="A36">
        <v>74481011000681</v>
      </c>
      <c r="B36" t="s">
        <v>2</v>
      </c>
      <c r="C36" t="s">
        <v>751</v>
      </c>
      <c r="D36">
        <v>81460040</v>
      </c>
      <c r="E36" t="s">
        <v>45</v>
      </c>
      <c r="F36">
        <v>7535</v>
      </c>
      <c r="G36" t="s">
        <v>801</v>
      </c>
      <c r="H36" t="s">
        <v>802</v>
      </c>
      <c r="I36">
        <v>22.09</v>
      </c>
      <c r="J36">
        <v>-25.4295963</v>
      </c>
      <c r="K36">
        <v>-49.271272400000001</v>
      </c>
      <c r="L36" t="s">
        <v>742</v>
      </c>
      <c r="M36" t="s">
        <v>803</v>
      </c>
      <c r="N36" t="s">
        <v>45</v>
      </c>
      <c r="O36" t="s">
        <v>755</v>
      </c>
      <c r="P36" t="str">
        <f>_xlfn.XLOOKUP(empresas_identificadas_complementadas[[#This Row],[cnpj]],empresas_filtradas[cnpj],empresas_filtradas[email])</f>
        <v>LUCAS@IBG.COM.BR</v>
      </c>
      <c r="Q36" t="str">
        <f>_xlfn.XLOOKUP(empresas_identificadas_complementadas[[#This Row],[cnpj]],empresas_filtradas!A:A,empresas_filtradas!M:M)</f>
        <v>Relação</v>
      </c>
    </row>
    <row r="37" spans="1:17" x14ac:dyDescent="0.25">
      <c r="A37">
        <v>35820448022458</v>
      </c>
      <c r="B37" t="s">
        <v>2</v>
      </c>
      <c r="C37" t="s">
        <v>751</v>
      </c>
      <c r="D37">
        <v>93700000</v>
      </c>
      <c r="E37" t="s">
        <v>117</v>
      </c>
      <c r="F37">
        <v>8577</v>
      </c>
      <c r="G37" t="s">
        <v>804</v>
      </c>
      <c r="H37" t="s">
        <v>802</v>
      </c>
      <c r="I37">
        <v>29.07</v>
      </c>
      <c r="J37">
        <v>-29.674848600000001</v>
      </c>
      <c r="K37">
        <v>-51.056282400000001</v>
      </c>
      <c r="L37" t="s">
        <v>742</v>
      </c>
      <c r="P37" t="str">
        <f>_xlfn.XLOOKUP(empresas_identificadas_complementadas[[#This Row],[cnpj]],empresas_filtradas[cnpj],empresas_filtradas[email])</f>
        <v>ATENDIMENTO@SAC.WHITEMARTINS.COM.BR</v>
      </c>
      <c r="Q37" t="str">
        <f>_xlfn.XLOOKUP(empresas_identificadas_complementadas[[#This Row],[cnpj]],empresas_filtradas!A:A,empresas_filtradas!M:M)</f>
        <v>Potencial Planta</v>
      </c>
    </row>
    <row r="38" spans="1:17" x14ac:dyDescent="0.25">
      <c r="A38">
        <v>331788003487</v>
      </c>
      <c r="B38" t="s">
        <v>2</v>
      </c>
      <c r="C38" t="s">
        <v>744</v>
      </c>
      <c r="D38">
        <v>37905000</v>
      </c>
      <c r="E38" t="s">
        <v>17</v>
      </c>
      <c r="F38">
        <v>4525</v>
      </c>
      <c r="G38" t="s">
        <v>745</v>
      </c>
      <c r="H38" t="s">
        <v>746</v>
      </c>
      <c r="I38">
        <v>177.17</v>
      </c>
      <c r="J38">
        <v>-20.849166</v>
      </c>
      <c r="K38">
        <v>-46.712221999999997</v>
      </c>
      <c r="L38" t="s">
        <v>742</v>
      </c>
      <c r="M38" t="s">
        <v>805</v>
      </c>
      <c r="N38" t="s">
        <v>17</v>
      </c>
      <c r="P38" t="str">
        <f>_xlfn.XLOOKUP(empresas_identificadas_complementadas[[#This Row],[cnpj]],empresas_filtradas[cnpj],empresas_filtradas[email])</f>
        <v>BRALB-PARALEGAL@AIRLIQUIDE.COM</v>
      </c>
      <c r="Q38" t="str">
        <f>_xlfn.XLOOKUP(empresas_identificadas_complementadas[[#This Row],[cnpj]],empresas_filtradas!A:A,empresas_filtradas!M:M)</f>
        <v>Não Planta</v>
      </c>
    </row>
    <row r="39" spans="1:17" x14ac:dyDescent="0.25">
      <c r="A39">
        <v>24380578002203</v>
      </c>
      <c r="B39" t="s">
        <v>2</v>
      </c>
      <c r="C39" t="s">
        <v>751</v>
      </c>
      <c r="D39">
        <v>54503410</v>
      </c>
      <c r="E39" t="s">
        <v>92</v>
      </c>
      <c r="F39">
        <v>2357</v>
      </c>
      <c r="G39" t="s">
        <v>796</v>
      </c>
      <c r="H39" t="s">
        <v>768</v>
      </c>
      <c r="I39">
        <v>14.96</v>
      </c>
      <c r="J39">
        <v>-8.2838945000000006</v>
      </c>
      <c r="K39">
        <v>-35.032098400000002</v>
      </c>
      <c r="L39" t="s">
        <v>742</v>
      </c>
      <c r="M39" t="s">
        <v>806</v>
      </c>
      <c r="N39" t="s">
        <v>92</v>
      </c>
      <c r="O39" t="s">
        <v>755</v>
      </c>
      <c r="P39" t="str">
        <f>_xlfn.XLOOKUP(empresas_identificadas_complementadas[[#This Row],[cnpj]],empresas_filtradas[cnpj],empresas_filtradas[email])</f>
        <v>ATENDIMENTO@SAC.WHITEMARTINS.COM.BR</v>
      </c>
      <c r="Q39" t="str">
        <f>_xlfn.XLOOKUP(empresas_identificadas_complementadas[[#This Row],[cnpj]],empresas_filtradas!A:A,empresas_filtradas!M:M)</f>
        <v>Potencial Planta</v>
      </c>
    </row>
    <row r="40" spans="1:17" x14ac:dyDescent="0.25">
      <c r="A40">
        <v>34597955000785</v>
      </c>
      <c r="B40" t="s">
        <v>2</v>
      </c>
      <c r="C40" t="s">
        <v>744</v>
      </c>
      <c r="D40">
        <v>78098280</v>
      </c>
      <c r="E40" t="s">
        <v>23</v>
      </c>
      <c r="F40">
        <v>9067</v>
      </c>
      <c r="G40" t="s">
        <v>745</v>
      </c>
      <c r="H40" t="s">
        <v>746</v>
      </c>
      <c r="I40">
        <v>966.36</v>
      </c>
      <c r="J40">
        <v>-15.6558653</v>
      </c>
      <c r="K40">
        <v>-55.990372700000002</v>
      </c>
      <c r="L40" t="s">
        <v>742</v>
      </c>
      <c r="M40" t="s">
        <v>747</v>
      </c>
      <c r="N40" t="s">
        <v>23</v>
      </c>
      <c r="P40" t="str">
        <f>_xlfn.XLOOKUP(empresas_identificadas_complementadas[[#This Row],[cnpj]],empresas_filtradas[cnpj],empresas_filtradas[email])</f>
        <v>ATENDIMENTO@SAC.WHITEMARTINS.COM.BR</v>
      </c>
      <c r="Q40" t="str">
        <f>_xlfn.XLOOKUP(empresas_identificadas_complementadas[[#This Row],[cnpj]],empresas_filtradas!A:A,empresas_filtradas!M:M)</f>
        <v>Não Planta</v>
      </c>
    </row>
    <row r="41" spans="1:17" x14ac:dyDescent="0.25">
      <c r="A41">
        <v>34597955001595</v>
      </c>
      <c r="B41" t="s">
        <v>2</v>
      </c>
      <c r="C41" t="s">
        <v>744</v>
      </c>
      <c r="D41">
        <v>76821220</v>
      </c>
      <c r="E41" t="s">
        <v>167</v>
      </c>
      <c r="F41">
        <v>3</v>
      </c>
      <c r="G41" t="s">
        <v>784</v>
      </c>
      <c r="H41" t="s">
        <v>785</v>
      </c>
      <c r="I41">
        <v>1856.07</v>
      </c>
      <c r="J41">
        <v>-8.7346366999999994</v>
      </c>
      <c r="K41">
        <v>-63.881581099999998</v>
      </c>
      <c r="L41" t="s">
        <v>742</v>
      </c>
      <c r="M41" t="s">
        <v>807</v>
      </c>
      <c r="N41" t="s">
        <v>167</v>
      </c>
      <c r="P41" t="str">
        <f>_xlfn.XLOOKUP(empresas_identificadas_complementadas[[#This Row],[cnpj]],empresas_filtradas[cnpj],empresas_filtradas[email])</f>
        <v>ATENDIMENTO@SAC.WHITEMARTINS.COM.BR</v>
      </c>
      <c r="Q41" t="str">
        <f>_xlfn.XLOOKUP(empresas_identificadas_complementadas[[#This Row],[cnpj]],empresas_filtradas!A:A,empresas_filtradas!M:M)</f>
        <v>Não Planta</v>
      </c>
    </row>
    <row r="42" spans="1:17" x14ac:dyDescent="0.25">
      <c r="A42">
        <v>35820448002341</v>
      </c>
      <c r="B42" t="s">
        <v>2</v>
      </c>
      <c r="C42" t="s">
        <v>744</v>
      </c>
      <c r="D42">
        <v>74655030</v>
      </c>
      <c r="E42" t="s">
        <v>173</v>
      </c>
      <c r="F42">
        <v>9373</v>
      </c>
      <c r="G42" t="s">
        <v>745</v>
      </c>
      <c r="H42" t="s">
        <v>746</v>
      </c>
      <c r="I42">
        <v>368.11</v>
      </c>
      <c r="J42">
        <v>-16.680882</v>
      </c>
      <c r="K42">
        <v>-49.253269099999997</v>
      </c>
      <c r="L42" t="s">
        <v>742</v>
      </c>
      <c r="M42" t="s">
        <v>808</v>
      </c>
      <c r="N42" t="s">
        <v>173</v>
      </c>
      <c r="O42" t="s">
        <v>755</v>
      </c>
      <c r="P42" t="str">
        <f>_xlfn.XLOOKUP(empresas_identificadas_complementadas[[#This Row],[cnpj]],empresas_filtradas[cnpj],empresas_filtradas[email])</f>
        <v>ATENDIMENTO@SAC.WHITEMARTINS.COM.BR</v>
      </c>
      <c r="Q42" t="str">
        <f>_xlfn.XLOOKUP(empresas_identificadas_complementadas[[#This Row],[cnpj]],empresas_filtradas!A:A,empresas_filtradas!M:M)</f>
        <v>Não Planta</v>
      </c>
    </row>
    <row r="43" spans="1:17" x14ac:dyDescent="0.25">
      <c r="A43">
        <v>35820448009869</v>
      </c>
      <c r="B43" t="s">
        <v>2</v>
      </c>
      <c r="C43" t="s">
        <v>751</v>
      </c>
      <c r="D43">
        <v>9270000</v>
      </c>
      <c r="E43" t="s">
        <v>32</v>
      </c>
      <c r="F43">
        <v>7057</v>
      </c>
      <c r="G43" t="s">
        <v>798</v>
      </c>
      <c r="H43" t="s">
        <v>799</v>
      </c>
      <c r="I43">
        <v>2.36</v>
      </c>
      <c r="J43">
        <v>-23.647768500000002</v>
      </c>
      <c r="K43">
        <v>-46.4889163</v>
      </c>
      <c r="L43" t="s">
        <v>742</v>
      </c>
      <c r="M43" t="s">
        <v>809</v>
      </c>
      <c r="N43" t="s">
        <v>32</v>
      </c>
      <c r="P43" t="str">
        <f>_xlfn.XLOOKUP(empresas_identificadas_complementadas[[#This Row],[cnpj]],empresas_filtradas[cnpj],empresas_filtradas[email])</f>
        <v>ATENDIMENTO@SAC.WHITEMARTINS.COM.BR</v>
      </c>
      <c r="Q43" t="str">
        <f>_xlfn.XLOOKUP(empresas_identificadas_complementadas[[#This Row],[cnpj]],empresas_filtradas!A:A,empresas_filtradas!M:M)</f>
        <v>Potencial Planta</v>
      </c>
    </row>
    <row r="44" spans="1:17" x14ac:dyDescent="0.25">
      <c r="A44">
        <v>35820448010794</v>
      </c>
      <c r="B44" t="s">
        <v>2</v>
      </c>
      <c r="C44" t="s">
        <v>744</v>
      </c>
      <c r="D44">
        <v>89206001</v>
      </c>
      <c r="E44" t="s">
        <v>65</v>
      </c>
      <c r="F44">
        <v>8179</v>
      </c>
      <c r="G44" t="s">
        <v>801</v>
      </c>
      <c r="H44" t="s">
        <v>802</v>
      </c>
      <c r="I44">
        <v>98.1</v>
      </c>
      <c r="J44">
        <v>-26.290758700000001</v>
      </c>
      <c r="K44">
        <v>-48.812798700000002</v>
      </c>
      <c r="L44" t="s">
        <v>742</v>
      </c>
      <c r="M44" t="s">
        <v>810</v>
      </c>
      <c r="N44" t="s">
        <v>65</v>
      </c>
      <c r="P44" t="str">
        <f>_xlfn.XLOOKUP(empresas_identificadas_complementadas[[#This Row],[cnpj]],empresas_filtradas[cnpj],empresas_filtradas[email])</f>
        <v>ATENDIMENTO@SAC.WHITEMARTINS.COM.BR</v>
      </c>
      <c r="Q44" t="str">
        <f>_xlfn.XLOOKUP(empresas_identificadas_complementadas[[#This Row],[cnpj]],empresas_filtradas!A:A,empresas_filtradas!M:M)</f>
        <v>Não Planta</v>
      </c>
    </row>
    <row r="45" spans="1:17" x14ac:dyDescent="0.25">
      <c r="A45">
        <v>35820448011766</v>
      </c>
      <c r="B45" t="s">
        <v>2</v>
      </c>
      <c r="C45" t="s">
        <v>751</v>
      </c>
      <c r="D45">
        <v>92420360</v>
      </c>
      <c r="E45" t="s">
        <v>117</v>
      </c>
      <c r="F45">
        <v>8589</v>
      </c>
      <c r="G45" t="s">
        <v>804</v>
      </c>
      <c r="H45" t="s">
        <v>802</v>
      </c>
      <c r="I45">
        <v>1.1100000000000001</v>
      </c>
      <c r="J45">
        <v>-29.921604500000001</v>
      </c>
      <c r="K45">
        <v>-51.179952499999999</v>
      </c>
      <c r="L45" t="s">
        <v>742</v>
      </c>
      <c r="M45" t="s">
        <v>811</v>
      </c>
      <c r="N45" t="s">
        <v>117</v>
      </c>
      <c r="O45" t="s">
        <v>755</v>
      </c>
      <c r="P45" t="str">
        <f>_xlfn.XLOOKUP(empresas_identificadas_complementadas[[#This Row],[cnpj]],empresas_filtradas[cnpj],empresas_filtradas[email])</f>
        <v>ATENDIMENTO@SAC.WHITEMARTINS.COM.BR</v>
      </c>
      <c r="Q45" t="str">
        <f>_xlfn.XLOOKUP(empresas_identificadas_complementadas[[#This Row],[cnpj]],empresas_filtradas!A:A,empresas_filtradas!M:M)</f>
        <v>Potencial Planta</v>
      </c>
    </row>
    <row r="46" spans="1:17" x14ac:dyDescent="0.25">
      <c r="A46">
        <v>35820448014277</v>
      </c>
      <c r="B46" t="s">
        <v>2</v>
      </c>
      <c r="C46" t="s">
        <v>739</v>
      </c>
      <c r="D46">
        <v>6230100</v>
      </c>
      <c r="E46" t="s">
        <v>32</v>
      </c>
      <c r="F46">
        <v>6789</v>
      </c>
      <c r="G46" t="s">
        <v>798</v>
      </c>
      <c r="H46" t="s">
        <v>799</v>
      </c>
      <c r="I46">
        <v>36.67</v>
      </c>
      <c r="J46">
        <v>-23.518218399999999</v>
      </c>
      <c r="K46">
        <v>-46.794905499999999</v>
      </c>
      <c r="L46" t="s">
        <v>742</v>
      </c>
      <c r="M46" t="s">
        <v>812</v>
      </c>
      <c r="N46" t="s">
        <v>32</v>
      </c>
      <c r="P46" t="str">
        <f>_xlfn.XLOOKUP(empresas_identificadas_complementadas[[#This Row],[cnpj]],empresas_filtradas[cnpj],empresas_filtradas[email])</f>
        <v>ATENDIMENTO@SAC.WHITEMARTINS.COM.BR</v>
      </c>
      <c r="Q46" t="str">
        <f>_xlfn.XLOOKUP(empresas_identificadas_complementadas[[#This Row],[cnpj]],empresas_filtradas!A:A,empresas_filtradas!M:M)</f>
        <v>Não Planta</v>
      </c>
    </row>
    <row r="47" spans="1:17" x14ac:dyDescent="0.25">
      <c r="A47">
        <v>43843358002132</v>
      </c>
      <c r="B47" t="s">
        <v>2</v>
      </c>
      <c r="C47" t="s">
        <v>744</v>
      </c>
      <c r="D47">
        <v>89240000</v>
      </c>
      <c r="E47" t="s">
        <v>65</v>
      </c>
      <c r="F47">
        <v>8319</v>
      </c>
      <c r="G47" t="s">
        <v>801</v>
      </c>
      <c r="H47" t="s">
        <v>802</v>
      </c>
      <c r="I47">
        <v>109.03</v>
      </c>
      <c r="J47">
        <v>-26.233773200000002</v>
      </c>
      <c r="K47">
        <v>-48.585222899999998</v>
      </c>
      <c r="L47" t="s">
        <v>742</v>
      </c>
      <c r="P47" t="str">
        <f>_xlfn.XLOOKUP(empresas_identificadas_complementadas[[#This Row],[cnpj]],empresas_filtradas[cnpj],empresas_filtradas[email])</f>
        <v>IMPNFE@AIRPRODUCTS.COM</v>
      </c>
      <c r="Q47" t="str">
        <f>_xlfn.XLOOKUP(empresas_identificadas_complementadas[[#This Row],[cnpj]],empresas_filtradas!A:A,empresas_filtradas!M:M)</f>
        <v>Potencial Planta</v>
      </c>
    </row>
    <row r="48" spans="1:17" x14ac:dyDescent="0.25">
      <c r="A48">
        <v>67423152000330</v>
      </c>
      <c r="B48" t="s">
        <v>2</v>
      </c>
      <c r="C48" t="s">
        <v>751</v>
      </c>
      <c r="D48">
        <v>12042025</v>
      </c>
      <c r="E48" t="s">
        <v>32</v>
      </c>
      <c r="F48">
        <v>7183</v>
      </c>
      <c r="G48" t="s">
        <v>793</v>
      </c>
      <c r="H48" t="s">
        <v>794</v>
      </c>
      <c r="I48">
        <v>47.31</v>
      </c>
      <c r="J48">
        <v>-23.041084600000001</v>
      </c>
      <c r="K48">
        <v>-45.602008699999999</v>
      </c>
      <c r="L48" t="s">
        <v>742</v>
      </c>
      <c r="M48" t="s">
        <v>813</v>
      </c>
      <c r="N48" t="s">
        <v>32</v>
      </c>
      <c r="P48" t="str">
        <f>_xlfn.XLOOKUP(empresas_identificadas_complementadas[[#This Row],[cnpj]],empresas_filtradas[cnpj],empresas_filtradas[email])</f>
        <v>ibg3@ibg.com.br</v>
      </c>
      <c r="Q48" t="str">
        <f>_xlfn.XLOOKUP(empresas_identificadas_complementadas[[#This Row],[cnpj]],empresas_filtradas!A:A,empresas_filtradas!M:M)</f>
        <v>Relação</v>
      </c>
    </row>
    <row r="49" spans="1:17" x14ac:dyDescent="0.25">
      <c r="A49">
        <v>60619202000148</v>
      </c>
      <c r="B49" t="s">
        <v>2</v>
      </c>
      <c r="C49" t="s">
        <v>739</v>
      </c>
      <c r="D49">
        <v>6455911</v>
      </c>
      <c r="E49" t="s">
        <v>32</v>
      </c>
      <c r="F49">
        <v>6213</v>
      </c>
      <c r="G49" t="s">
        <v>798</v>
      </c>
      <c r="H49" t="s">
        <v>799</v>
      </c>
      <c r="I49">
        <v>44.6</v>
      </c>
      <c r="J49">
        <v>-23.511218400000001</v>
      </c>
      <c r="K49">
        <v>-46.876461200000001</v>
      </c>
      <c r="L49" t="s">
        <v>742</v>
      </c>
      <c r="M49" t="s">
        <v>814</v>
      </c>
      <c r="N49" t="s">
        <v>32</v>
      </c>
      <c r="O49" t="s">
        <v>755</v>
      </c>
      <c r="P49" t="str">
        <f>_xlfn.XLOOKUP(empresas_identificadas_complementadas[[#This Row],[cnpj]],empresas_filtradas[cnpj],empresas_filtradas[email])</f>
        <v>TAX.COMPLIANCE@MESSER-BR.COM</v>
      </c>
      <c r="Q49" t="str">
        <f>_xlfn.XLOOKUP(empresas_identificadas_complementadas[[#This Row],[cnpj]],empresas_filtradas!A:A,empresas_filtradas!M:M)</f>
        <v>Não Planta</v>
      </c>
    </row>
    <row r="50" spans="1:17" x14ac:dyDescent="0.25">
      <c r="A50">
        <v>35820448005448</v>
      </c>
      <c r="B50" t="s">
        <v>2</v>
      </c>
      <c r="C50" t="s">
        <v>744</v>
      </c>
      <c r="D50">
        <v>86067090</v>
      </c>
      <c r="E50" t="s">
        <v>45</v>
      </c>
      <c r="F50">
        <v>7667</v>
      </c>
      <c r="G50" t="s">
        <v>801</v>
      </c>
      <c r="H50" t="s">
        <v>802</v>
      </c>
      <c r="I50">
        <v>314.29000000000002</v>
      </c>
      <c r="J50">
        <v>-23.2937127</v>
      </c>
      <c r="K50">
        <v>-51.219484999999999</v>
      </c>
      <c r="L50" t="s">
        <v>742</v>
      </c>
      <c r="M50" t="s">
        <v>815</v>
      </c>
      <c r="N50" t="s">
        <v>45</v>
      </c>
      <c r="P50" t="str">
        <f>_xlfn.XLOOKUP(empresas_identificadas_complementadas[[#This Row],[cnpj]],empresas_filtradas[cnpj],empresas_filtradas[email])</f>
        <v>ATENDIMENTO@SAC.WHITEMARTINS.COM.BR</v>
      </c>
      <c r="Q50" t="str">
        <f>_xlfn.XLOOKUP(empresas_identificadas_complementadas[[#This Row],[cnpj]],empresas_filtradas!A:A,empresas_filtradas!M:M)</f>
        <v>Não Planta</v>
      </c>
    </row>
    <row r="51" spans="1:17" x14ac:dyDescent="0.25">
      <c r="A51">
        <v>60619202005450</v>
      </c>
      <c r="B51" t="s">
        <v>2</v>
      </c>
      <c r="C51" t="s">
        <v>751</v>
      </c>
      <c r="D51">
        <v>27970020</v>
      </c>
      <c r="E51" t="s">
        <v>27</v>
      </c>
      <c r="F51">
        <v>5847</v>
      </c>
      <c r="G51" t="s">
        <v>816</v>
      </c>
      <c r="H51" t="s">
        <v>817</v>
      </c>
      <c r="I51">
        <v>23.25</v>
      </c>
      <c r="J51">
        <v>-22.282830499999999</v>
      </c>
      <c r="K51">
        <v>-41.9649091</v>
      </c>
      <c r="L51" t="s">
        <v>742</v>
      </c>
      <c r="M51" t="s">
        <v>818</v>
      </c>
      <c r="N51" t="s">
        <v>27</v>
      </c>
      <c r="O51" t="s">
        <v>755</v>
      </c>
      <c r="P51" t="str">
        <f>_xlfn.XLOOKUP(empresas_identificadas_complementadas[[#This Row],[cnpj]],empresas_filtradas[cnpj],empresas_filtradas[email])</f>
        <v>TAX.COMPLIANCE@MESSER-BR.COM</v>
      </c>
      <c r="Q51" t="str">
        <f>_xlfn.XLOOKUP(empresas_identificadas_complementadas[[#This Row],[cnpj]],empresas_filtradas!A:A,empresas_filtradas!M:M)</f>
        <v>Potencial Planta</v>
      </c>
    </row>
    <row r="52" spans="1:17" x14ac:dyDescent="0.25">
      <c r="A52">
        <v>331788001603</v>
      </c>
      <c r="B52" t="s">
        <v>2</v>
      </c>
      <c r="C52" t="s">
        <v>751</v>
      </c>
      <c r="D52">
        <v>13069472</v>
      </c>
      <c r="E52" t="s">
        <v>32</v>
      </c>
      <c r="F52">
        <v>6291</v>
      </c>
      <c r="G52" t="s">
        <v>752</v>
      </c>
      <c r="H52" t="s">
        <v>753</v>
      </c>
      <c r="I52">
        <v>21.33</v>
      </c>
      <c r="J52">
        <v>-22.905639099999998</v>
      </c>
      <c r="K52">
        <v>-47.059564000000002</v>
      </c>
      <c r="L52" t="s">
        <v>742</v>
      </c>
      <c r="M52" t="s">
        <v>819</v>
      </c>
      <c r="N52" t="s">
        <v>32</v>
      </c>
      <c r="O52" t="s">
        <v>755</v>
      </c>
      <c r="P52" t="str">
        <f>_xlfn.XLOOKUP(empresas_identificadas_complementadas[[#This Row],[cnpj]],empresas_filtradas[cnpj],empresas_filtradas[email])</f>
        <v>BRALB-PARALEGAL@AIRLIQUIDE.COM</v>
      </c>
      <c r="Q52" t="str">
        <f>_xlfn.XLOOKUP(empresas_identificadas_complementadas[[#This Row],[cnpj]],empresas_filtradas!A:A,empresas_filtradas!M:M)</f>
        <v>Potencial Planta</v>
      </c>
    </row>
    <row r="53" spans="1:17" x14ac:dyDescent="0.25">
      <c r="A53">
        <v>35820448015591</v>
      </c>
      <c r="B53" t="s">
        <v>2</v>
      </c>
      <c r="C53" t="s">
        <v>751</v>
      </c>
      <c r="D53">
        <v>35160291</v>
      </c>
      <c r="E53" t="s">
        <v>17</v>
      </c>
      <c r="F53">
        <v>4625</v>
      </c>
      <c r="G53" t="s">
        <v>820</v>
      </c>
      <c r="H53" t="s">
        <v>749</v>
      </c>
      <c r="I53">
        <v>3.66</v>
      </c>
      <c r="J53">
        <v>-19.490295799999998</v>
      </c>
      <c r="K53">
        <v>-42.561728799999997</v>
      </c>
      <c r="L53" t="s">
        <v>742</v>
      </c>
      <c r="M53" t="s">
        <v>821</v>
      </c>
      <c r="N53" t="s">
        <v>17</v>
      </c>
      <c r="P53" t="str">
        <f>_xlfn.XLOOKUP(empresas_identificadas_complementadas[[#This Row],[cnpj]],empresas_filtradas[cnpj],empresas_filtradas[email])</f>
        <v>ATENDIMENTO@SAC.WHITEMARTINS.COM.BR</v>
      </c>
      <c r="Q53" t="str">
        <f>_xlfn.XLOOKUP(empresas_identificadas_complementadas[[#This Row],[cnpj]],empresas_filtradas!A:A,empresas_filtradas!M:M)</f>
        <v>Potencial Planta</v>
      </c>
    </row>
    <row r="54" spans="1:17" x14ac:dyDescent="0.25">
      <c r="A54">
        <v>24380578005300</v>
      </c>
      <c r="B54" t="s">
        <v>2</v>
      </c>
      <c r="C54" t="s">
        <v>744</v>
      </c>
      <c r="D54">
        <v>45930000</v>
      </c>
      <c r="E54" t="s">
        <v>60</v>
      </c>
      <c r="F54">
        <v>3741</v>
      </c>
      <c r="G54" t="s">
        <v>778</v>
      </c>
      <c r="H54" t="s">
        <v>779</v>
      </c>
      <c r="I54">
        <v>252.19</v>
      </c>
      <c r="J54">
        <v>-18.086470899999998</v>
      </c>
      <c r="K54">
        <v>-39.551281899999999</v>
      </c>
      <c r="L54" t="s">
        <v>742</v>
      </c>
      <c r="M54" t="s">
        <v>822</v>
      </c>
      <c r="N54" t="s">
        <v>60</v>
      </c>
      <c r="P54" t="str">
        <f>_xlfn.XLOOKUP(empresas_identificadas_complementadas[[#This Row],[cnpj]],empresas_filtradas[cnpj],empresas_filtradas[email])</f>
        <v>ATENDIMENTO@SAC.WHITEMARTINS.COM.BR</v>
      </c>
      <c r="Q54" t="str">
        <f>_xlfn.XLOOKUP(empresas_identificadas_complementadas[[#This Row],[cnpj]],empresas_filtradas!A:A,empresas_filtradas!M:M)</f>
        <v>Não Planta</v>
      </c>
    </row>
    <row r="55" spans="1:17" x14ac:dyDescent="0.25">
      <c r="A55">
        <v>331788004882</v>
      </c>
      <c r="B55" t="s">
        <v>2</v>
      </c>
      <c r="C55" t="s">
        <v>751</v>
      </c>
      <c r="D55">
        <v>9015901</v>
      </c>
      <c r="E55" t="s">
        <v>32</v>
      </c>
      <c r="F55">
        <v>7057</v>
      </c>
      <c r="G55" t="s">
        <v>798</v>
      </c>
      <c r="H55" t="s">
        <v>799</v>
      </c>
      <c r="I55">
        <v>4.74</v>
      </c>
      <c r="J55">
        <v>-23.661027900000001</v>
      </c>
      <c r="K55">
        <v>-46.516573299999997</v>
      </c>
      <c r="L55" t="s">
        <v>742</v>
      </c>
      <c r="M55" t="s">
        <v>809</v>
      </c>
      <c r="N55" t="s">
        <v>32</v>
      </c>
      <c r="P55" t="str">
        <f>_xlfn.XLOOKUP(empresas_identificadas_complementadas[[#This Row],[cnpj]],empresas_filtradas[cnpj],empresas_filtradas[email])</f>
        <v>BRALB-PARALEGAL@AIRLIQUIDE.COM</v>
      </c>
      <c r="Q55" t="str">
        <f>_xlfn.XLOOKUP(empresas_identificadas_complementadas[[#This Row],[cnpj]],empresas_filtradas!A:A,empresas_filtradas!M:M)</f>
        <v>Potencial Planta</v>
      </c>
    </row>
    <row r="56" spans="1:17" x14ac:dyDescent="0.25">
      <c r="A56">
        <v>17352435000106</v>
      </c>
      <c r="B56" t="s">
        <v>2</v>
      </c>
      <c r="C56" t="s">
        <v>739</v>
      </c>
      <c r="D56">
        <v>24858088</v>
      </c>
      <c r="E56" t="s">
        <v>27</v>
      </c>
      <c r="F56">
        <v>5837</v>
      </c>
      <c r="G56" t="s">
        <v>765</v>
      </c>
      <c r="H56" t="s">
        <v>753</v>
      </c>
      <c r="I56">
        <v>34.590000000000003</v>
      </c>
      <c r="J56">
        <v>-22.774689599999999</v>
      </c>
      <c r="K56">
        <v>-42.940690500000002</v>
      </c>
      <c r="L56" t="s">
        <v>742</v>
      </c>
      <c r="M56" t="s">
        <v>823</v>
      </c>
      <c r="N56" t="s">
        <v>27</v>
      </c>
      <c r="P56" t="str">
        <f>_xlfn.XLOOKUP(empresas_identificadas_complementadas[[#This Row],[cnpj]],empresas_filtradas[cnpj],empresas_filtradas[email])</f>
        <v>COMERCIAL@MLXGASES.COM.BR</v>
      </c>
      <c r="Q56" t="str">
        <f>_xlfn.XLOOKUP(empresas_identificadas_complementadas[[#This Row],[cnpj]],empresas_filtradas!A:A,empresas_filtradas!M:M)</f>
        <v>Sem Relação</v>
      </c>
    </row>
    <row r="57" spans="1:17" x14ac:dyDescent="0.25">
      <c r="A57">
        <v>74481011000762</v>
      </c>
      <c r="B57" t="s">
        <v>2</v>
      </c>
      <c r="C57" t="s">
        <v>744</v>
      </c>
      <c r="D57">
        <v>88390000</v>
      </c>
      <c r="E57" t="s">
        <v>65</v>
      </c>
      <c r="F57">
        <v>8041</v>
      </c>
      <c r="G57" t="s">
        <v>801</v>
      </c>
      <c r="H57" t="s">
        <v>802</v>
      </c>
      <c r="I57">
        <v>136.85</v>
      </c>
      <c r="J57">
        <v>-26.6338203</v>
      </c>
      <c r="K57">
        <v>-48.683500100000003</v>
      </c>
      <c r="L57" t="s">
        <v>742</v>
      </c>
      <c r="M57" t="s">
        <v>824</v>
      </c>
      <c r="N57" t="s">
        <v>65</v>
      </c>
      <c r="P57" t="str">
        <f>_xlfn.XLOOKUP(empresas_identificadas_complementadas[[#This Row],[cnpj]],empresas_filtradas[cnpj],empresas_filtradas[email])</f>
        <v>LUCAS@IBG.COM.BR</v>
      </c>
      <c r="Q57" t="str">
        <f>_xlfn.XLOOKUP(empresas_identificadas_complementadas[[#This Row],[cnpj]],empresas_filtradas!A:A,empresas_filtradas!M:M)</f>
        <v>Relação</v>
      </c>
    </row>
    <row r="58" spans="1:17" x14ac:dyDescent="0.25">
      <c r="A58">
        <v>331788001786</v>
      </c>
      <c r="B58" t="s">
        <v>2</v>
      </c>
      <c r="C58" t="s">
        <v>751</v>
      </c>
      <c r="D58">
        <v>13140031</v>
      </c>
      <c r="E58" t="s">
        <v>32</v>
      </c>
      <c r="F58">
        <v>6831</v>
      </c>
      <c r="G58" t="s">
        <v>752</v>
      </c>
      <c r="H58" t="s">
        <v>753</v>
      </c>
      <c r="I58">
        <v>3.39</v>
      </c>
      <c r="J58">
        <v>-22.752417900000001</v>
      </c>
      <c r="K58">
        <v>-47.157823800000003</v>
      </c>
      <c r="L58" t="s">
        <v>742</v>
      </c>
      <c r="M58" t="s">
        <v>825</v>
      </c>
      <c r="N58" t="s">
        <v>32</v>
      </c>
      <c r="P58" t="str">
        <f>_xlfn.XLOOKUP(empresas_identificadas_complementadas[[#This Row],[cnpj]],empresas_filtradas[cnpj],empresas_filtradas[email])</f>
        <v>BRALB-PARALEGAL@AIRLIQUIDE.COM</v>
      </c>
      <c r="Q58" t="str">
        <f>_xlfn.XLOOKUP(empresas_identificadas_complementadas[[#This Row],[cnpj]],empresas_filtradas!A:A,empresas_filtradas!M:M)</f>
        <v>Planta</v>
      </c>
    </row>
    <row r="59" spans="1:17" x14ac:dyDescent="0.25">
      <c r="A59">
        <v>331788003134</v>
      </c>
      <c r="B59" t="s">
        <v>2</v>
      </c>
      <c r="C59" t="s">
        <v>751</v>
      </c>
      <c r="D59">
        <v>32250010</v>
      </c>
      <c r="E59" t="s">
        <v>17</v>
      </c>
      <c r="F59">
        <v>4371</v>
      </c>
      <c r="G59" t="s">
        <v>788</v>
      </c>
      <c r="H59" t="s">
        <v>789</v>
      </c>
      <c r="I59">
        <v>11.01</v>
      </c>
      <c r="J59">
        <v>-19.913274900000001</v>
      </c>
      <c r="K59">
        <v>-44.084095300000001</v>
      </c>
      <c r="L59" t="s">
        <v>742</v>
      </c>
      <c r="M59" t="s">
        <v>790</v>
      </c>
      <c r="N59" t="s">
        <v>17</v>
      </c>
      <c r="O59" t="s">
        <v>755</v>
      </c>
      <c r="P59" t="str">
        <f>_xlfn.XLOOKUP(empresas_identificadas_complementadas[[#This Row],[cnpj]],empresas_filtradas[cnpj],empresas_filtradas[email])</f>
        <v>BRALB-PARALEGAL@AIRLIQUIDE.COM</v>
      </c>
      <c r="Q59" t="str">
        <f>_xlfn.XLOOKUP(empresas_identificadas_complementadas[[#This Row],[cnpj]],empresas_filtradas!A:A,empresas_filtradas!M:M)</f>
        <v>Potencial Planta</v>
      </c>
    </row>
    <row r="60" spans="1:17" x14ac:dyDescent="0.25">
      <c r="A60">
        <v>24380578002475</v>
      </c>
      <c r="B60" t="s">
        <v>2</v>
      </c>
      <c r="C60" t="s">
        <v>744</v>
      </c>
      <c r="D60">
        <v>64027462</v>
      </c>
      <c r="E60" t="s">
        <v>87</v>
      </c>
      <c r="F60">
        <v>1219</v>
      </c>
      <c r="G60" t="s">
        <v>767</v>
      </c>
      <c r="H60" t="s">
        <v>768</v>
      </c>
      <c r="I60">
        <v>475.82</v>
      </c>
      <c r="J60">
        <v>-5.1438012000000004</v>
      </c>
      <c r="K60">
        <v>-42.793922899999998</v>
      </c>
      <c r="L60" t="s">
        <v>742</v>
      </c>
      <c r="M60" t="s">
        <v>826</v>
      </c>
      <c r="N60" t="s">
        <v>87</v>
      </c>
      <c r="P60" t="str">
        <f>_xlfn.XLOOKUP(empresas_identificadas_complementadas[[#This Row],[cnpj]],empresas_filtradas[cnpj],empresas_filtradas[email])</f>
        <v>ATENDIMENTO@SAC.WHITEMARTINS.COM.BR</v>
      </c>
      <c r="Q60" t="str">
        <f>_xlfn.XLOOKUP(empresas_identificadas_complementadas[[#This Row],[cnpj]],empresas_filtradas!A:A,empresas_filtradas!M:M)</f>
        <v>Não Planta</v>
      </c>
    </row>
    <row r="61" spans="1:17" x14ac:dyDescent="0.25">
      <c r="A61">
        <v>24380578004338</v>
      </c>
      <c r="B61" t="s">
        <v>2</v>
      </c>
      <c r="C61" t="s">
        <v>751</v>
      </c>
      <c r="D61">
        <v>42816180</v>
      </c>
      <c r="E61" t="s">
        <v>60</v>
      </c>
      <c r="F61">
        <v>3413</v>
      </c>
      <c r="G61" t="s">
        <v>759</v>
      </c>
      <c r="H61" t="s">
        <v>760</v>
      </c>
      <c r="I61">
        <v>2.48</v>
      </c>
      <c r="J61">
        <v>-12.6740791</v>
      </c>
      <c r="K61">
        <v>-38.323711099999997</v>
      </c>
      <c r="L61" t="s">
        <v>742</v>
      </c>
      <c r="M61" t="s">
        <v>761</v>
      </c>
      <c r="N61" t="s">
        <v>60</v>
      </c>
      <c r="P61" t="str">
        <f>_xlfn.XLOOKUP(empresas_identificadas_complementadas[[#This Row],[cnpj]],empresas_filtradas[cnpj],empresas_filtradas[email])</f>
        <v>ATENDIMENTO@SAC.WHITEMARTINS.COM.BR</v>
      </c>
      <c r="Q61" t="str">
        <f>_xlfn.XLOOKUP(empresas_identificadas_complementadas[[#This Row],[cnpj]],empresas_filtradas!A:A,empresas_filtradas!M:M)</f>
        <v>Potencial Planta</v>
      </c>
    </row>
    <row r="62" spans="1:17" x14ac:dyDescent="0.25">
      <c r="A62">
        <v>34597955001242</v>
      </c>
      <c r="B62" t="s">
        <v>2</v>
      </c>
      <c r="C62" t="s">
        <v>744</v>
      </c>
      <c r="D62">
        <v>68508020</v>
      </c>
      <c r="E62" t="s">
        <v>78</v>
      </c>
      <c r="F62">
        <v>483</v>
      </c>
      <c r="G62" t="s">
        <v>784</v>
      </c>
      <c r="H62" t="s">
        <v>785</v>
      </c>
      <c r="I62">
        <v>424.65</v>
      </c>
      <c r="J62">
        <v>-5.3462820999999998</v>
      </c>
      <c r="K62">
        <v>-49.100740100000003</v>
      </c>
      <c r="L62" t="s">
        <v>742</v>
      </c>
      <c r="M62" t="s">
        <v>827</v>
      </c>
      <c r="N62" t="s">
        <v>78</v>
      </c>
      <c r="O62" t="s">
        <v>755</v>
      </c>
      <c r="P62" t="str">
        <f>_xlfn.XLOOKUP(empresas_identificadas_complementadas[[#This Row],[cnpj]],empresas_filtradas[cnpj],empresas_filtradas[email])</f>
        <v>ESPECIALISTA_FISCAL_CAMPO@LINDE.COM</v>
      </c>
      <c r="Q62" t="str">
        <f>_xlfn.XLOOKUP(empresas_identificadas_complementadas[[#This Row],[cnpj]],empresas_filtradas!A:A,empresas_filtradas!M:M)</f>
        <v>Não Planta</v>
      </c>
    </row>
    <row r="63" spans="1:17" x14ac:dyDescent="0.25">
      <c r="A63">
        <v>35820448004638</v>
      </c>
      <c r="B63" t="s">
        <v>2</v>
      </c>
      <c r="C63" t="s">
        <v>744</v>
      </c>
      <c r="D63">
        <v>36092901</v>
      </c>
      <c r="E63" t="s">
        <v>17</v>
      </c>
      <c r="F63">
        <v>4733</v>
      </c>
      <c r="G63" t="s">
        <v>828</v>
      </c>
      <c r="H63" t="s">
        <v>749</v>
      </c>
      <c r="I63">
        <v>119.66</v>
      </c>
      <c r="J63">
        <v>-21.6420894</v>
      </c>
      <c r="K63">
        <v>-43.4369601</v>
      </c>
      <c r="L63" t="s">
        <v>742</v>
      </c>
      <c r="M63" t="s">
        <v>766</v>
      </c>
      <c r="N63" t="s">
        <v>17</v>
      </c>
      <c r="P63" t="str">
        <f>_xlfn.XLOOKUP(empresas_identificadas_complementadas[[#This Row],[cnpj]],empresas_filtradas[cnpj],empresas_filtradas[email])</f>
        <v>GEORGE.LAU@LINDE.COM</v>
      </c>
      <c r="Q63" t="str">
        <f>_xlfn.XLOOKUP(empresas_identificadas_complementadas[[#This Row],[cnpj]],empresas_filtradas!A:A,empresas_filtradas!M:M)</f>
        <v>Não Planta</v>
      </c>
    </row>
    <row r="64" spans="1:17" x14ac:dyDescent="0.25">
      <c r="A64">
        <v>35820448006339</v>
      </c>
      <c r="B64" t="s">
        <v>2</v>
      </c>
      <c r="C64" t="s">
        <v>751</v>
      </c>
      <c r="D64">
        <v>93212220</v>
      </c>
      <c r="E64" t="s">
        <v>117</v>
      </c>
      <c r="F64">
        <v>8901</v>
      </c>
      <c r="G64" t="s">
        <v>804</v>
      </c>
      <c r="H64" t="s">
        <v>802</v>
      </c>
      <c r="I64">
        <v>9.49</v>
      </c>
      <c r="J64">
        <v>-29.8271789</v>
      </c>
      <c r="K64">
        <v>-51.172522000000001</v>
      </c>
      <c r="L64" t="s">
        <v>742</v>
      </c>
      <c r="M64" t="s">
        <v>829</v>
      </c>
      <c r="N64" t="s">
        <v>117</v>
      </c>
      <c r="P64" t="str">
        <f>_xlfn.XLOOKUP(empresas_identificadas_complementadas[[#This Row],[cnpj]],empresas_filtradas[cnpj],empresas_filtradas[email])</f>
        <v>ATENDIMENTO@SAC.WHITEMARTINS.COM.BR</v>
      </c>
      <c r="Q64" t="str">
        <f>_xlfn.XLOOKUP(empresas_identificadas_complementadas[[#This Row],[cnpj]],empresas_filtradas!A:A,empresas_filtradas!M:M)</f>
        <v>Potencial Planta</v>
      </c>
    </row>
    <row r="65" spans="1:17" x14ac:dyDescent="0.25">
      <c r="A65">
        <v>43843358001322</v>
      </c>
      <c r="B65" t="s">
        <v>2</v>
      </c>
      <c r="C65" t="s">
        <v>744</v>
      </c>
      <c r="D65">
        <v>88535000</v>
      </c>
      <c r="E65" t="s">
        <v>65</v>
      </c>
      <c r="F65">
        <v>8395</v>
      </c>
      <c r="G65" t="s">
        <v>801</v>
      </c>
      <c r="H65" t="s">
        <v>802</v>
      </c>
      <c r="I65">
        <v>241.9</v>
      </c>
      <c r="J65">
        <v>-27.587688</v>
      </c>
      <c r="K65">
        <v>-50.361448000000003</v>
      </c>
      <c r="L65" t="s">
        <v>742</v>
      </c>
      <c r="M65" t="s">
        <v>830</v>
      </c>
      <c r="N65" t="s">
        <v>65</v>
      </c>
      <c r="P65" t="str">
        <f>_xlfn.XLOOKUP(empresas_identificadas_complementadas[[#This Row],[cnpj]],empresas_filtradas[cnpj],empresas_filtradas[email])</f>
        <v>IMPNFE@AIRPRODUCTS.COM</v>
      </c>
      <c r="Q65" t="str">
        <f>_xlfn.XLOOKUP(empresas_identificadas_complementadas[[#This Row],[cnpj]],empresas_filtradas!A:A,empresas_filtradas!M:M)</f>
        <v>Potencial Planta</v>
      </c>
    </row>
    <row r="66" spans="1:17" x14ac:dyDescent="0.25">
      <c r="A66">
        <v>60619202007231</v>
      </c>
      <c r="B66" t="s">
        <v>2</v>
      </c>
      <c r="C66" t="s">
        <v>751</v>
      </c>
      <c r="D66">
        <v>35180001</v>
      </c>
      <c r="E66" t="s">
        <v>17</v>
      </c>
      <c r="F66">
        <v>5373</v>
      </c>
      <c r="G66" t="s">
        <v>820</v>
      </c>
      <c r="H66" t="s">
        <v>749</v>
      </c>
      <c r="I66">
        <v>16.57</v>
      </c>
      <c r="J66">
        <v>-19.577139500000001</v>
      </c>
      <c r="K66">
        <v>-42.643610799999998</v>
      </c>
      <c r="L66" t="s">
        <v>742</v>
      </c>
      <c r="M66" t="s">
        <v>831</v>
      </c>
      <c r="N66" t="s">
        <v>17</v>
      </c>
      <c r="O66" t="s">
        <v>755</v>
      </c>
      <c r="P66" t="str">
        <f>_xlfn.XLOOKUP(empresas_identificadas_complementadas[[#This Row],[cnpj]],empresas_filtradas[cnpj],empresas_filtradas[email])</f>
        <v>TAX.COMPLIANCE@MESSER-BR.COM</v>
      </c>
      <c r="Q66" t="str">
        <f>_xlfn.XLOOKUP(empresas_identificadas_complementadas[[#This Row],[cnpj]],empresas_filtradas!A:A,empresas_filtradas!M:M)</f>
        <v>Potencial Planta</v>
      </c>
    </row>
    <row r="67" spans="1:17" x14ac:dyDescent="0.25">
      <c r="A67">
        <v>331788003649</v>
      </c>
      <c r="B67" t="s">
        <v>2</v>
      </c>
      <c r="C67" t="s">
        <v>744</v>
      </c>
      <c r="D67">
        <v>74993530</v>
      </c>
      <c r="E67" t="s">
        <v>173</v>
      </c>
      <c r="F67">
        <v>9227</v>
      </c>
      <c r="G67" t="s">
        <v>745</v>
      </c>
      <c r="H67" t="s">
        <v>746</v>
      </c>
      <c r="I67">
        <v>353.2</v>
      </c>
      <c r="J67">
        <v>-16.822676900000001</v>
      </c>
      <c r="K67">
        <v>-49.245254600000003</v>
      </c>
      <c r="L67" t="s">
        <v>742</v>
      </c>
      <c r="M67" t="s">
        <v>832</v>
      </c>
      <c r="N67" t="s">
        <v>173</v>
      </c>
      <c r="O67" t="s">
        <v>755</v>
      </c>
      <c r="P67" t="str">
        <f>_xlfn.XLOOKUP(empresas_identificadas_complementadas[[#This Row],[cnpj]],empresas_filtradas[cnpj],empresas_filtradas[email])</f>
        <v>BRALB-PARALEGAL@AIRLIQUIDE.COM</v>
      </c>
      <c r="Q67" t="str">
        <f>_xlfn.XLOOKUP(empresas_identificadas_complementadas[[#This Row],[cnpj]],empresas_filtradas!A:A,empresas_filtradas!M:M)</f>
        <v>Não Planta</v>
      </c>
    </row>
    <row r="68" spans="1:17" x14ac:dyDescent="0.25">
      <c r="A68">
        <v>35820448012657</v>
      </c>
      <c r="B68" t="s">
        <v>2</v>
      </c>
      <c r="C68" t="s">
        <v>744</v>
      </c>
      <c r="D68">
        <v>39404620</v>
      </c>
      <c r="E68" t="s">
        <v>17</v>
      </c>
      <c r="F68">
        <v>4865</v>
      </c>
      <c r="G68" t="s">
        <v>820</v>
      </c>
      <c r="H68" t="s">
        <v>749</v>
      </c>
      <c r="I68">
        <v>338.97</v>
      </c>
      <c r="J68">
        <v>-16.691672799999999</v>
      </c>
      <c r="K68">
        <v>-43.860496900000001</v>
      </c>
      <c r="L68" t="s">
        <v>742</v>
      </c>
      <c r="M68" t="s">
        <v>833</v>
      </c>
      <c r="N68" t="s">
        <v>17</v>
      </c>
      <c r="P68" t="str">
        <f>_xlfn.XLOOKUP(empresas_identificadas_complementadas[[#This Row],[cnpj]],empresas_filtradas[cnpj],empresas_filtradas[email])</f>
        <v>ATENDIMENTO@SAC.WHITEMARTINS.COM.BR</v>
      </c>
      <c r="Q68" t="str">
        <f>_xlfn.XLOOKUP(empresas_identificadas_complementadas[[#This Row],[cnpj]],empresas_filtradas!A:A,empresas_filtradas!M:M)</f>
        <v>Não Planta</v>
      </c>
    </row>
    <row r="69" spans="1:17" x14ac:dyDescent="0.25">
      <c r="A69">
        <v>331788000380</v>
      </c>
      <c r="B69" t="s">
        <v>2</v>
      </c>
      <c r="C69" t="s">
        <v>751</v>
      </c>
      <c r="D69">
        <v>8686000</v>
      </c>
      <c r="E69" t="s">
        <v>32</v>
      </c>
      <c r="F69">
        <v>7151</v>
      </c>
      <c r="G69" t="s">
        <v>798</v>
      </c>
      <c r="H69" t="s">
        <v>799</v>
      </c>
      <c r="I69">
        <v>20.81</v>
      </c>
      <c r="J69">
        <v>-23.5427842</v>
      </c>
      <c r="K69">
        <v>-46.310839100000003</v>
      </c>
      <c r="L69" t="s">
        <v>742</v>
      </c>
      <c r="M69" t="s">
        <v>800</v>
      </c>
      <c r="N69" t="s">
        <v>32</v>
      </c>
      <c r="O69" t="s">
        <v>755</v>
      </c>
      <c r="P69" t="str">
        <f>_xlfn.XLOOKUP(empresas_identificadas_complementadas[[#This Row],[cnpj]],empresas_filtradas[cnpj],empresas_filtradas[email])</f>
        <v>BRALB-PARALEGAL@AIRLIQUIDE.COM</v>
      </c>
      <c r="Q69" t="str">
        <f>_xlfn.XLOOKUP(empresas_identificadas_complementadas[[#This Row],[cnpj]],empresas_filtradas!A:A,empresas_filtradas!M:M)</f>
        <v>Potencial Planta</v>
      </c>
    </row>
    <row r="70" spans="1:17" x14ac:dyDescent="0.25">
      <c r="A70">
        <v>331788000704</v>
      </c>
      <c r="B70" t="s">
        <v>2</v>
      </c>
      <c r="C70" t="s">
        <v>751</v>
      </c>
      <c r="D70">
        <v>13212240</v>
      </c>
      <c r="E70" t="s">
        <v>32</v>
      </c>
      <c r="F70">
        <v>6619</v>
      </c>
      <c r="G70" t="s">
        <v>752</v>
      </c>
      <c r="H70" t="s">
        <v>753</v>
      </c>
      <c r="I70">
        <v>57.43</v>
      </c>
      <c r="J70">
        <v>-23.1887668</v>
      </c>
      <c r="K70">
        <v>-46.884506000000002</v>
      </c>
      <c r="L70" t="s">
        <v>742</v>
      </c>
      <c r="M70" t="s">
        <v>773</v>
      </c>
      <c r="N70" t="s">
        <v>32</v>
      </c>
      <c r="O70" t="s">
        <v>755</v>
      </c>
      <c r="P70" t="str">
        <f>_xlfn.XLOOKUP(empresas_identificadas_complementadas[[#This Row],[cnpj]],empresas_filtradas[cnpj],empresas_filtradas[email])</f>
        <v>BRALB-PARALEGAL@AIRLIQUIDE.COM</v>
      </c>
      <c r="Q70" t="str">
        <f>_xlfn.XLOOKUP(empresas_identificadas_complementadas[[#This Row],[cnpj]],empresas_filtradas!A:A,empresas_filtradas!M:M)</f>
        <v>Potencial Planta</v>
      </c>
    </row>
    <row r="71" spans="1:17" x14ac:dyDescent="0.25">
      <c r="A71">
        <v>67423152000844</v>
      </c>
      <c r="B71" t="s">
        <v>2</v>
      </c>
      <c r="C71" t="s">
        <v>744</v>
      </c>
      <c r="D71">
        <v>15035210</v>
      </c>
      <c r="E71" t="s">
        <v>32</v>
      </c>
      <c r="F71">
        <v>7097</v>
      </c>
      <c r="G71" t="s">
        <v>745</v>
      </c>
      <c r="H71" t="s">
        <v>746</v>
      </c>
      <c r="I71">
        <v>191.42</v>
      </c>
      <c r="J71">
        <v>-20.8125851</v>
      </c>
      <c r="K71">
        <v>-49.380421200000001</v>
      </c>
      <c r="L71" t="s">
        <v>742</v>
      </c>
      <c r="M71" t="s">
        <v>792</v>
      </c>
      <c r="N71" t="s">
        <v>32</v>
      </c>
      <c r="O71" t="s">
        <v>755</v>
      </c>
      <c r="P71" t="str">
        <f>_xlfn.XLOOKUP(empresas_identificadas_complementadas[[#This Row],[cnpj]],empresas_filtradas[cnpj],empresas_filtradas[email])</f>
        <v>IBG8@IBG.COM.BR</v>
      </c>
      <c r="Q71" t="str">
        <f>_xlfn.XLOOKUP(empresas_identificadas_complementadas[[#This Row],[cnpj]],empresas_filtradas!A:A,empresas_filtradas!M:M)</f>
        <v>Relação</v>
      </c>
    </row>
    <row r="72" spans="1:17" x14ac:dyDescent="0.25">
      <c r="A72">
        <v>35820448019074</v>
      </c>
      <c r="B72" t="s">
        <v>2</v>
      </c>
      <c r="C72" t="s">
        <v>751</v>
      </c>
      <c r="D72">
        <v>96745000</v>
      </c>
      <c r="E72" t="s">
        <v>117</v>
      </c>
      <c r="F72">
        <v>8693</v>
      </c>
      <c r="G72" t="s">
        <v>771</v>
      </c>
      <c r="H72" t="s">
        <v>760</v>
      </c>
      <c r="I72">
        <v>24.6</v>
      </c>
      <c r="J72">
        <v>-29.954908799999998</v>
      </c>
      <c r="K72">
        <v>-51.624953400000003</v>
      </c>
      <c r="L72" t="s">
        <v>742</v>
      </c>
      <c r="M72" t="s">
        <v>834</v>
      </c>
      <c r="N72" t="s">
        <v>117</v>
      </c>
      <c r="P72" t="str">
        <f>_xlfn.XLOOKUP(empresas_identificadas_complementadas[[#This Row],[cnpj]],empresas_filtradas[cnpj],empresas_filtradas[email])</f>
        <v>ATENDIMENTO@SAC.WHITEMARTINS.COM.BR</v>
      </c>
      <c r="Q72" t="str">
        <f>_xlfn.XLOOKUP(empresas_identificadas_complementadas[[#This Row],[cnpj]],empresas_filtradas!A:A,empresas_filtradas!M:M)</f>
        <v>Potencial Planta</v>
      </c>
    </row>
    <row r="73" spans="1:17" x14ac:dyDescent="0.25">
      <c r="A73">
        <v>24380578005814</v>
      </c>
      <c r="B73" t="s">
        <v>2</v>
      </c>
      <c r="C73" t="s">
        <v>739</v>
      </c>
      <c r="D73">
        <v>42850000</v>
      </c>
      <c r="E73" t="s">
        <v>60</v>
      </c>
      <c r="F73">
        <v>3087</v>
      </c>
      <c r="G73" t="s">
        <v>759</v>
      </c>
      <c r="H73" t="s">
        <v>760</v>
      </c>
      <c r="I73">
        <v>9.7799999999999994</v>
      </c>
      <c r="J73">
        <v>-12.6107233</v>
      </c>
      <c r="K73">
        <v>-38.302851799999999</v>
      </c>
      <c r="L73" t="s">
        <v>742</v>
      </c>
      <c r="M73" t="s">
        <v>835</v>
      </c>
      <c r="N73" t="s">
        <v>60</v>
      </c>
      <c r="P73" t="str">
        <f>_xlfn.XLOOKUP(empresas_identificadas_complementadas[[#This Row],[cnpj]],empresas_filtradas[cnpj],empresas_filtradas[email])</f>
        <v>ATENDIMENTO@SAC.WHITEMARTINS.COM.BR</v>
      </c>
      <c r="Q73" t="str">
        <f>_xlfn.XLOOKUP(empresas_identificadas_complementadas[[#This Row],[cnpj]],empresas_filtradas!A:A,empresas_filtradas!M:M)</f>
        <v>Potencial Planta</v>
      </c>
    </row>
    <row r="74" spans="1:17" x14ac:dyDescent="0.25">
      <c r="A74">
        <v>331788004963</v>
      </c>
      <c r="B74" t="s">
        <v>2</v>
      </c>
      <c r="C74" t="s">
        <v>751</v>
      </c>
      <c r="D74">
        <v>12241420</v>
      </c>
      <c r="E74" t="s">
        <v>32</v>
      </c>
      <c r="F74">
        <v>7099</v>
      </c>
      <c r="G74" t="s">
        <v>793</v>
      </c>
      <c r="H74" t="s">
        <v>794</v>
      </c>
      <c r="I74">
        <v>15.46</v>
      </c>
      <c r="J74">
        <v>-23.186778199999999</v>
      </c>
      <c r="K74">
        <v>-45.885453800000001</v>
      </c>
      <c r="L74" t="s">
        <v>742</v>
      </c>
      <c r="M74" t="s">
        <v>836</v>
      </c>
      <c r="N74" t="s">
        <v>32</v>
      </c>
      <c r="O74" t="s">
        <v>755</v>
      </c>
      <c r="P74" t="str">
        <f>_xlfn.XLOOKUP(empresas_identificadas_complementadas[[#This Row],[cnpj]],empresas_filtradas[cnpj],empresas_filtradas[email])</f>
        <v>BRALB-PARALEGAL@AIRLIQUIDE.COM</v>
      </c>
      <c r="Q74" t="str">
        <f>_xlfn.XLOOKUP(empresas_identificadas_complementadas[[#This Row],[cnpj]],empresas_filtradas!A:A,empresas_filtradas!M:M)</f>
        <v>Potencial Planta</v>
      </c>
    </row>
    <row r="75" spans="1:17" x14ac:dyDescent="0.25">
      <c r="A75">
        <v>331788008365</v>
      </c>
      <c r="B75" t="s">
        <v>2</v>
      </c>
      <c r="C75" t="s">
        <v>751</v>
      </c>
      <c r="D75">
        <v>67120370</v>
      </c>
      <c r="E75" t="s">
        <v>78</v>
      </c>
      <c r="F75">
        <v>415</v>
      </c>
      <c r="G75" t="s">
        <v>784</v>
      </c>
      <c r="H75" t="s">
        <v>785</v>
      </c>
      <c r="I75">
        <v>42.72</v>
      </c>
      <c r="J75">
        <v>-1.3740349999999999</v>
      </c>
      <c r="K75">
        <v>-48.401662299999998</v>
      </c>
      <c r="L75" t="s">
        <v>742</v>
      </c>
      <c r="M75" t="s">
        <v>837</v>
      </c>
      <c r="N75" t="s">
        <v>78</v>
      </c>
      <c r="O75" t="s">
        <v>755</v>
      </c>
      <c r="P75" t="str">
        <f>_xlfn.XLOOKUP(empresas_identificadas_complementadas[[#This Row],[cnpj]],empresas_filtradas[cnpj],empresas_filtradas[email])</f>
        <v>BRALB-PARALEGAL@AIRLIQUIDE.COM</v>
      </c>
      <c r="Q75" t="str">
        <f>_xlfn.XLOOKUP(empresas_identificadas_complementadas[[#This Row],[cnpj]],empresas_filtradas!A:A,empresas_filtradas!M:M)</f>
        <v>Potencial Planta</v>
      </c>
    </row>
    <row r="76" spans="1:17" x14ac:dyDescent="0.25">
      <c r="A76">
        <v>331788007717</v>
      </c>
      <c r="B76" t="s">
        <v>2</v>
      </c>
      <c r="C76" t="s">
        <v>744</v>
      </c>
      <c r="D76">
        <v>84350000</v>
      </c>
      <c r="E76" t="s">
        <v>45</v>
      </c>
      <c r="F76">
        <v>7727</v>
      </c>
      <c r="G76" t="s">
        <v>801</v>
      </c>
      <c r="H76" t="s">
        <v>802</v>
      </c>
      <c r="I76">
        <v>216.79</v>
      </c>
      <c r="J76">
        <v>-24.2088891</v>
      </c>
      <c r="K76">
        <v>-50.925043000000002</v>
      </c>
      <c r="L76" t="s">
        <v>742</v>
      </c>
      <c r="M76" t="s">
        <v>838</v>
      </c>
      <c r="N76" t="s">
        <v>45</v>
      </c>
      <c r="P76" t="str">
        <f>_xlfn.XLOOKUP(empresas_identificadas_complementadas[[#This Row],[cnpj]],empresas_filtradas[cnpj],empresas_filtradas[email])</f>
        <v>BRALB-PARALEGAL@AIRLIQUIDE.COM</v>
      </c>
      <c r="Q76" t="str">
        <f>_xlfn.XLOOKUP(empresas_identificadas_complementadas[[#This Row],[cnpj]],empresas_filtradas!A:A,empresas_filtradas!M:M)</f>
        <v>Não Planta</v>
      </c>
    </row>
    <row r="77" spans="1:17" x14ac:dyDescent="0.25">
      <c r="A77">
        <v>24380578006110</v>
      </c>
      <c r="B77" t="s">
        <v>2</v>
      </c>
      <c r="D77">
        <v>71200030</v>
      </c>
      <c r="E77" t="s">
        <v>40</v>
      </c>
      <c r="F77">
        <v>9701</v>
      </c>
      <c r="G77" t="s">
        <v>745</v>
      </c>
      <c r="H77" t="s">
        <v>746</v>
      </c>
      <c r="I77">
        <v>439.6</v>
      </c>
      <c r="J77">
        <v>-15.7939869</v>
      </c>
      <c r="K77">
        <v>-47.882800000000003</v>
      </c>
      <c r="L77" t="s">
        <v>742</v>
      </c>
      <c r="M77" t="s">
        <v>757</v>
      </c>
      <c r="N77" t="s">
        <v>40</v>
      </c>
      <c r="O77" t="s">
        <v>755</v>
      </c>
      <c r="P77" t="str">
        <f>_xlfn.XLOOKUP(empresas_identificadas_complementadas[[#This Row],[cnpj]],empresas_filtradas[cnpj],empresas_filtradas[email])</f>
        <v>ATENDIMENTO@SAC.WHITEMARTINS.COM.BR</v>
      </c>
      <c r="Q77" t="str">
        <f>_xlfn.XLOOKUP(empresas_identificadas_complementadas[[#This Row],[cnpj]],empresas_filtradas!A:A,empresas_filtradas!M:M)</f>
        <v>Não Planta</v>
      </c>
    </row>
    <row r="78" spans="1:17" x14ac:dyDescent="0.25">
      <c r="A78">
        <v>28606961000163</v>
      </c>
      <c r="B78" t="s">
        <v>2</v>
      </c>
      <c r="D78">
        <v>58884000</v>
      </c>
      <c r="E78" t="s">
        <v>96</v>
      </c>
      <c r="F78">
        <v>1987</v>
      </c>
      <c r="G78" t="s">
        <v>767</v>
      </c>
      <c r="H78" t="s">
        <v>768</v>
      </c>
      <c r="I78">
        <v>331.97</v>
      </c>
      <c r="J78">
        <v>-6.3406250000000002</v>
      </c>
      <c r="K78">
        <v>-37.746966999999998</v>
      </c>
      <c r="L78" t="s">
        <v>742</v>
      </c>
      <c r="M78" t="s">
        <v>839</v>
      </c>
      <c r="N78" t="s">
        <v>96</v>
      </c>
      <c r="P78" t="str">
        <f>_xlfn.XLOOKUP(empresas_identificadas_complementadas[[#This Row],[cnpj]],empresas_filtradas[cnpj],empresas_filtradas[email])</f>
        <v>OXIBORGES@BOL.COM.BR</v>
      </c>
      <c r="Q78" t="str">
        <f>_xlfn.XLOOKUP(empresas_identificadas_complementadas[[#This Row],[cnpj]],empresas_filtradas!A:A,empresas_filtradas!M:M)</f>
        <v>Sem Relação</v>
      </c>
    </row>
    <row r="79" spans="1:17" x14ac:dyDescent="0.25">
      <c r="A79">
        <v>35820448021990</v>
      </c>
      <c r="B79" t="s">
        <v>2</v>
      </c>
      <c r="C79" t="s">
        <v>744</v>
      </c>
      <c r="D79">
        <v>18685900</v>
      </c>
      <c r="E79" t="s">
        <v>32</v>
      </c>
      <c r="F79">
        <v>6637</v>
      </c>
      <c r="G79" t="s">
        <v>752</v>
      </c>
      <c r="H79" t="s">
        <v>753</v>
      </c>
      <c r="I79">
        <v>171.42</v>
      </c>
      <c r="J79">
        <v>-22.602989699999998</v>
      </c>
      <c r="K79">
        <v>-48.803136700000003</v>
      </c>
      <c r="L79" t="s">
        <v>742</v>
      </c>
      <c r="M79" t="s">
        <v>840</v>
      </c>
      <c r="N79" t="s">
        <v>32</v>
      </c>
      <c r="O79" t="s">
        <v>755</v>
      </c>
      <c r="P79" t="str">
        <f>_xlfn.XLOOKUP(empresas_identificadas_complementadas[[#This Row],[cnpj]],empresas_filtradas[cnpj],empresas_filtradas[email])</f>
        <v>ATENDIMENTO@SAC.WHITEMARTINS.COM.BR</v>
      </c>
      <c r="Q79" t="str">
        <f>_xlfn.XLOOKUP(empresas_identificadas_complementadas[[#This Row],[cnpj]],empresas_filtradas!A:A,empresas_filtradas!M:M)</f>
        <v>Não Planta</v>
      </c>
    </row>
    <row r="80" spans="1:17" x14ac:dyDescent="0.25">
      <c r="A80">
        <v>331788000119</v>
      </c>
      <c r="B80" t="s">
        <v>2</v>
      </c>
      <c r="C80" t="s">
        <v>739</v>
      </c>
      <c r="D80">
        <v>4703901</v>
      </c>
      <c r="E80" t="s">
        <v>32</v>
      </c>
      <c r="F80">
        <v>7107</v>
      </c>
      <c r="G80" t="s">
        <v>798</v>
      </c>
      <c r="H80" t="s">
        <v>799</v>
      </c>
      <c r="I80">
        <v>24</v>
      </c>
      <c r="J80">
        <v>-23.620007600000001</v>
      </c>
      <c r="K80">
        <v>-46.701493399999997</v>
      </c>
      <c r="L80" t="s">
        <v>742</v>
      </c>
      <c r="M80" t="s">
        <v>841</v>
      </c>
      <c r="N80" t="s">
        <v>32</v>
      </c>
      <c r="P80" t="str">
        <f>_xlfn.XLOOKUP(empresas_identificadas_complementadas[[#This Row],[cnpj]],empresas_filtradas[cnpj],empresas_filtradas[email])</f>
        <v>BRALB-PARALEGAL@AIRLIQUIDE.COM</v>
      </c>
      <c r="Q80" t="str">
        <f>_xlfn.XLOOKUP(empresas_identificadas_complementadas[[#This Row],[cnpj]],empresas_filtradas!A:A,empresas_filtradas!M:M)</f>
        <v>Não Planta</v>
      </c>
    </row>
    <row r="81" spans="1:17" x14ac:dyDescent="0.25">
      <c r="A81">
        <v>331788001948</v>
      </c>
      <c r="B81" t="s">
        <v>2</v>
      </c>
      <c r="C81" t="s">
        <v>751</v>
      </c>
      <c r="D81">
        <v>7220080</v>
      </c>
      <c r="E81" t="s">
        <v>32</v>
      </c>
      <c r="F81">
        <v>6477</v>
      </c>
      <c r="G81" t="s">
        <v>798</v>
      </c>
      <c r="H81" t="s">
        <v>799</v>
      </c>
      <c r="I81">
        <v>22.19</v>
      </c>
      <c r="J81">
        <v>-23.467594099999999</v>
      </c>
      <c r="K81">
        <v>-46.527770400000001</v>
      </c>
      <c r="L81" t="s">
        <v>742</v>
      </c>
      <c r="M81" t="s">
        <v>842</v>
      </c>
      <c r="N81" t="s">
        <v>32</v>
      </c>
      <c r="O81" t="s">
        <v>755</v>
      </c>
      <c r="P81" t="str">
        <f>_xlfn.XLOOKUP(empresas_identificadas_complementadas[[#This Row],[cnpj]],empresas_filtradas[cnpj],empresas_filtradas[email])</f>
        <v>BRALB-PARALEGAL@AIRLIQUIDE.COM</v>
      </c>
      <c r="Q81" t="str">
        <f>_xlfn.XLOOKUP(empresas_identificadas_complementadas[[#This Row],[cnpj]],empresas_filtradas!A:A,empresas_filtradas!M:M)</f>
        <v>Potencial Planta</v>
      </c>
    </row>
    <row r="82" spans="1:17" x14ac:dyDescent="0.25">
      <c r="A82">
        <v>35820448001884</v>
      </c>
      <c r="B82" t="s">
        <v>2</v>
      </c>
      <c r="C82" t="s">
        <v>744</v>
      </c>
      <c r="D82">
        <v>71200030</v>
      </c>
      <c r="E82" t="s">
        <v>40</v>
      </c>
      <c r="F82">
        <v>9701</v>
      </c>
      <c r="G82" t="s">
        <v>745</v>
      </c>
      <c r="H82" t="s">
        <v>746</v>
      </c>
      <c r="I82">
        <v>439.6</v>
      </c>
      <c r="J82">
        <v>-15.7939869</v>
      </c>
      <c r="K82">
        <v>-47.882800000000003</v>
      </c>
      <c r="L82" t="s">
        <v>742</v>
      </c>
      <c r="M82" t="s">
        <v>757</v>
      </c>
      <c r="N82" t="s">
        <v>40</v>
      </c>
      <c r="O82" t="s">
        <v>755</v>
      </c>
      <c r="P82" t="str">
        <f>_xlfn.XLOOKUP(empresas_identificadas_complementadas[[#This Row],[cnpj]],empresas_filtradas[cnpj],empresas_filtradas[email])</f>
        <v>ATENDIMENTO@SAC.WHITEMARTINS.COM.BR</v>
      </c>
      <c r="Q82" t="str">
        <f>_xlfn.XLOOKUP(empresas_identificadas_complementadas[[#This Row],[cnpj]],empresas_filtradas!A:A,empresas_filtradas!M:M)</f>
        <v>Não Planta</v>
      </c>
    </row>
    <row r="83" spans="1:17" x14ac:dyDescent="0.25">
      <c r="A83">
        <v>35820448009516</v>
      </c>
      <c r="B83" t="s">
        <v>2</v>
      </c>
      <c r="C83" t="s">
        <v>744</v>
      </c>
      <c r="D83">
        <v>17034480</v>
      </c>
      <c r="E83" t="s">
        <v>32</v>
      </c>
      <c r="F83">
        <v>6219</v>
      </c>
      <c r="G83" t="s">
        <v>752</v>
      </c>
      <c r="H83" t="s">
        <v>753</v>
      </c>
      <c r="I83">
        <v>203.52</v>
      </c>
      <c r="J83">
        <v>-22.3173803</v>
      </c>
      <c r="K83">
        <v>-49.068977799999999</v>
      </c>
      <c r="L83" t="s">
        <v>742</v>
      </c>
      <c r="M83" t="s">
        <v>758</v>
      </c>
      <c r="N83" t="s">
        <v>32</v>
      </c>
      <c r="O83" t="s">
        <v>755</v>
      </c>
      <c r="P83" t="str">
        <f>_xlfn.XLOOKUP(empresas_identificadas_complementadas[[#This Row],[cnpj]],empresas_filtradas[cnpj],empresas_filtradas[email])</f>
        <v>ATENDIMENTO@SAC.WHITEMARTINS.COM.BR</v>
      </c>
      <c r="Q83" t="str">
        <f>_xlfn.XLOOKUP(empresas_identificadas_complementadas[[#This Row],[cnpj]],empresas_filtradas!A:A,empresas_filtradas!M:M)</f>
        <v>Não Planta</v>
      </c>
    </row>
    <row r="84" spans="1:17" x14ac:dyDescent="0.25">
      <c r="A84">
        <v>35820448016644</v>
      </c>
      <c r="B84" t="s">
        <v>2</v>
      </c>
      <c r="C84" t="s">
        <v>739</v>
      </c>
      <c r="D84">
        <v>9380435</v>
      </c>
      <c r="E84" t="s">
        <v>32</v>
      </c>
      <c r="F84">
        <v>6689</v>
      </c>
      <c r="G84" t="s">
        <v>798</v>
      </c>
      <c r="H84" t="s">
        <v>799</v>
      </c>
      <c r="I84">
        <v>1.1499999999999999</v>
      </c>
      <c r="J84">
        <v>-23.6669527</v>
      </c>
      <c r="K84">
        <v>-46.461692200000002</v>
      </c>
      <c r="L84" t="s">
        <v>742</v>
      </c>
      <c r="M84" t="s">
        <v>843</v>
      </c>
      <c r="N84" t="s">
        <v>32</v>
      </c>
      <c r="O84" t="s">
        <v>755</v>
      </c>
      <c r="P84" t="str">
        <f>_xlfn.XLOOKUP(empresas_identificadas_complementadas[[#This Row],[cnpj]],empresas_filtradas[cnpj],empresas_filtradas[email])</f>
        <v>ATENDIMENTO@SAC.WHITEMARTINS.COM.BR</v>
      </c>
      <c r="Q84" t="str">
        <f>_xlfn.XLOOKUP(empresas_identificadas_complementadas[[#This Row],[cnpj]],empresas_filtradas!A:A,empresas_filtradas!M:M)</f>
        <v>Não Planta</v>
      </c>
    </row>
    <row r="85" spans="1:17" x14ac:dyDescent="0.25">
      <c r="A85">
        <v>35820448017969</v>
      </c>
      <c r="B85" t="s">
        <v>2</v>
      </c>
      <c r="C85" t="s">
        <v>751</v>
      </c>
      <c r="D85">
        <v>29160904</v>
      </c>
      <c r="E85" t="s">
        <v>49</v>
      </c>
      <c r="F85">
        <v>5699</v>
      </c>
      <c r="G85" t="s">
        <v>778</v>
      </c>
      <c r="H85" t="s">
        <v>779</v>
      </c>
      <c r="I85">
        <v>14.74</v>
      </c>
      <c r="J85">
        <v>-20.1252961</v>
      </c>
      <c r="K85">
        <v>-40.3064477</v>
      </c>
      <c r="L85" t="s">
        <v>742</v>
      </c>
      <c r="M85" t="s">
        <v>844</v>
      </c>
      <c r="N85" t="s">
        <v>49</v>
      </c>
      <c r="O85" t="s">
        <v>755</v>
      </c>
      <c r="P85" t="str">
        <f>_xlfn.XLOOKUP(empresas_identificadas_complementadas[[#This Row],[cnpj]],empresas_filtradas[cnpj],empresas_filtradas[email])</f>
        <v>ATENDIMENTO@SAC.WHITEMARTINS.COM.BR</v>
      </c>
      <c r="Q85" t="str">
        <f>_xlfn.XLOOKUP(empresas_identificadas_complementadas[[#This Row],[cnpj]],empresas_filtradas!A:A,empresas_filtradas!M:M)</f>
        <v>Potencial Planta</v>
      </c>
    </row>
    <row r="86" spans="1:17" x14ac:dyDescent="0.25">
      <c r="A86">
        <v>35820448018000</v>
      </c>
      <c r="B86" t="s">
        <v>2</v>
      </c>
      <c r="C86" t="s">
        <v>739</v>
      </c>
      <c r="D86">
        <v>29197551</v>
      </c>
      <c r="E86" t="s">
        <v>49</v>
      </c>
      <c r="F86">
        <v>5611</v>
      </c>
      <c r="G86" t="s">
        <v>778</v>
      </c>
      <c r="H86" t="s">
        <v>779</v>
      </c>
      <c r="I86">
        <v>47.54</v>
      </c>
      <c r="J86">
        <v>-19.824521799999999</v>
      </c>
      <c r="K86">
        <v>-40.273502499999999</v>
      </c>
      <c r="L86" t="s">
        <v>742</v>
      </c>
      <c r="M86" t="s">
        <v>845</v>
      </c>
      <c r="N86" t="s">
        <v>49</v>
      </c>
      <c r="O86" t="s">
        <v>755</v>
      </c>
      <c r="P86" t="str">
        <f>_xlfn.XLOOKUP(empresas_identificadas_complementadas[[#This Row],[cnpj]],empresas_filtradas[cnpj],empresas_filtradas[email])</f>
        <v>ATENDIMENTO@SAC.WHITEMARTINS.COM.BR</v>
      </c>
      <c r="Q86" t="str">
        <f>_xlfn.XLOOKUP(empresas_identificadas_complementadas[[#This Row],[cnpj]],empresas_filtradas!A:A,empresas_filtradas!M:M)</f>
        <v>Não Planta</v>
      </c>
    </row>
    <row r="87" spans="1:17" x14ac:dyDescent="0.25">
      <c r="A87">
        <v>35820448018183</v>
      </c>
      <c r="B87" t="s">
        <v>2</v>
      </c>
      <c r="C87" t="s">
        <v>751</v>
      </c>
      <c r="D87">
        <v>29140080</v>
      </c>
      <c r="E87" t="s">
        <v>49</v>
      </c>
      <c r="F87">
        <v>5625</v>
      </c>
      <c r="G87" t="s">
        <v>778</v>
      </c>
      <c r="H87" t="s">
        <v>779</v>
      </c>
      <c r="I87">
        <v>13.84</v>
      </c>
      <c r="J87">
        <v>-20.340476299999999</v>
      </c>
      <c r="K87">
        <v>-40.358397500000002</v>
      </c>
      <c r="L87" t="s">
        <v>742</v>
      </c>
      <c r="M87" t="s">
        <v>846</v>
      </c>
      <c r="N87" t="s">
        <v>49</v>
      </c>
      <c r="P87" t="str">
        <f>_xlfn.XLOOKUP(empresas_identificadas_complementadas[[#This Row],[cnpj]],empresas_filtradas[cnpj],empresas_filtradas[email])</f>
        <v>ATENDIMENTO@SAC.WHITEMARTINS.COM.BR</v>
      </c>
      <c r="Q87" t="str">
        <f>_xlfn.XLOOKUP(empresas_identificadas_complementadas[[#This Row],[cnpj]],empresas_filtradas!A:A,empresas_filtradas!M:M)</f>
        <v>Potencial Planta</v>
      </c>
    </row>
    <row r="88" spans="1:17" x14ac:dyDescent="0.25">
      <c r="A88">
        <v>60619202003597</v>
      </c>
      <c r="B88" t="s">
        <v>2</v>
      </c>
      <c r="C88" t="s">
        <v>751</v>
      </c>
      <c r="D88">
        <v>81270010</v>
      </c>
      <c r="E88" t="s">
        <v>45</v>
      </c>
      <c r="F88">
        <v>7535</v>
      </c>
      <c r="G88" t="s">
        <v>801</v>
      </c>
      <c r="H88" t="s">
        <v>802</v>
      </c>
      <c r="I88">
        <v>15.55</v>
      </c>
      <c r="J88">
        <v>-25.4523972</v>
      </c>
      <c r="K88">
        <v>-49.364716299999998</v>
      </c>
      <c r="L88" t="s">
        <v>742</v>
      </c>
      <c r="M88" t="s">
        <v>803</v>
      </c>
      <c r="N88" t="s">
        <v>45</v>
      </c>
      <c r="P88" t="str">
        <f>_xlfn.XLOOKUP(empresas_identificadas_complementadas[[#This Row],[cnpj]],empresas_filtradas[cnpj],empresas_filtradas[email])</f>
        <v>TAX.COMPLIANCE@MESSER-BR.COM</v>
      </c>
      <c r="Q88" t="str">
        <f>_xlfn.XLOOKUP(empresas_identificadas_complementadas[[#This Row],[cnpj]],empresas_filtradas!A:A,empresas_filtradas!M:M)</f>
        <v>Potencial Planta</v>
      </c>
    </row>
    <row r="89" spans="1:17" x14ac:dyDescent="0.25">
      <c r="A89">
        <v>67423152000763</v>
      </c>
      <c r="B89" t="s">
        <v>2</v>
      </c>
      <c r="C89" t="s">
        <v>751</v>
      </c>
      <c r="D89">
        <v>54520600</v>
      </c>
      <c r="E89" t="s">
        <v>92</v>
      </c>
      <c r="F89">
        <v>2357</v>
      </c>
      <c r="G89" t="s">
        <v>796</v>
      </c>
      <c r="H89" t="s">
        <v>768</v>
      </c>
      <c r="I89">
        <v>14.44</v>
      </c>
      <c r="J89">
        <v>-8.2877299999999998</v>
      </c>
      <c r="K89">
        <v>-35.029249999999998</v>
      </c>
      <c r="L89" t="s">
        <v>864</v>
      </c>
      <c r="M89" t="s">
        <v>806</v>
      </c>
      <c r="N89" t="s">
        <v>92</v>
      </c>
      <c r="P89" t="str">
        <f>_xlfn.XLOOKUP(empresas_identificadas_complementadas[[#This Row],[cnpj]],empresas_filtradas[cnpj],empresas_filtradas[email])</f>
        <v>IBG7@IBG.COM.BR</v>
      </c>
      <c r="Q89" t="str">
        <f>_xlfn.XLOOKUP(empresas_identificadas_complementadas[[#This Row],[cnpj]],empresas_filtradas!A:A,empresas_filtradas!M:M)</f>
        <v>Relação</v>
      </c>
    </row>
    <row r="90" spans="1:17" x14ac:dyDescent="0.25">
      <c r="A90">
        <v>60619202001209</v>
      </c>
      <c r="B90" t="s">
        <v>2</v>
      </c>
      <c r="C90" t="s">
        <v>751</v>
      </c>
      <c r="D90">
        <v>54335000</v>
      </c>
      <c r="E90" t="s">
        <v>92</v>
      </c>
      <c r="F90">
        <v>2457</v>
      </c>
      <c r="G90" t="s">
        <v>796</v>
      </c>
      <c r="H90" t="s">
        <v>768</v>
      </c>
      <c r="I90">
        <v>25.05</v>
      </c>
      <c r="J90">
        <v>-8.1735121999999993</v>
      </c>
      <c r="K90">
        <v>-34.941300400000003</v>
      </c>
      <c r="L90" t="s">
        <v>742</v>
      </c>
      <c r="M90" t="s">
        <v>847</v>
      </c>
      <c r="N90" t="s">
        <v>92</v>
      </c>
      <c r="P90" t="str">
        <f>_xlfn.XLOOKUP(empresas_identificadas_complementadas[[#This Row],[cnpj]],empresas_filtradas[cnpj],empresas_filtradas[email])</f>
        <v>TAX.COMPLIANCE@MESSER-BR.COM</v>
      </c>
      <c r="Q90" t="str">
        <f>_xlfn.XLOOKUP(empresas_identificadas_complementadas[[#This Row],[cnpj]],empresas_filtradas!A:A,empresas_filtradas!M:M)</f>
        <v>Potencial Planta</v>
      </c>
    </row>
    <row r="91" spans="1:17" x14ac:dyDescent="0.25">
      <c r="A91">
        <v>331788002162</v>
      </c>
      <c r="B91" t="s">
        <v>2</v>
      </c>
      <c r="C91" t="s">
        <v>751</v>
      </c>
      <c r="D91">
        <v>43721445</v>
      </c>
      <c r="E91" t="s">
        <v>60</v>
      </c>
      <c r="F91">
        <v>3913</v>
      </c>
      <c r="G91" t="s">
        <v>759</v>
      </c>
      <c r="H91" t="s">
        <v>760</v>
      </c>
      <c r="I91">
        <v>13.25</v>
      </c>
      <c r="J91">
        <v>-12.7867839</v>
      </c>
      <c r="K91">
        <v>-38.403036499999999</v>
      </c>
      <c r="L91" t="s">
        <v>742</v>
      </c>
      <c r="M91" t="s">
        <v>848</v>
      </c>
      <c r="N91" t="s">
        <v>60</v>
      </c>
      <c r="O91" t="s">
        <v>755</v>
      </c>
      <c r="P91" t="str">
        <f>_xlfn.XLOOKUP(empresas_identificadas_complementadas[[#This Row],[cnpj]],empresas_filtradas[cnpj],empresas_filtradas[email])</f>
        <v>BRALB-PARALEGAL@AIRLIQUIDE.COM</v>
      </c>
      <c r="Q91" t="str">
        <f>_xlfn.XLOOKUP(empresas_identificadas_complementadas[[#This Row],[cnpj]],empresas_filtradas!A:A,empresas_filtradas!M:M)</f>
        <v>Potencial Planta</v>
      </c>
    </row>
    <row r="92" spans="1:17" x14ac:dyDescent="0.25">
      <c r="A92">
        <v>34597955001323</v>
      </c>
      <c r="B92" t="s">
        <v>2</v>
      </c>
      <c r="C92" t="s">
        <v>751</v>
      </c>
      <c r="D92">
        <v>66820000</v>
      </c>
      <c r="E92" t="s">
        <v>78</v>
      </c>
      <c r="F92">
        <v>427</v>
      </c>
      <c r="G92" t="s">
        <v>784</v>
      </c>
      <c r="H92" t="s">
        <v>785</v>
      </c>
      <c r="I92">
        <v>41.18</v>
      </c>
      <c r="J92">
        <v>-1.3174748000000001</v>
      </c>
      <c r="K92">
        <v>-48.453210400000003</v>
      </c>
      <c r="L92" t="s">
        <v>742</v>
      </c>
      <c r="M92" t="s">
        <v>849</v>
      </c>
      <c r="N92" t="s">
        <v>78</v>
      </c>
      <c r="P92" t="str">
        <f>_xlfn.XLOOKUP(empresas_identificadas_complementadas[[#This Row],[cnpj]],empresas_filtradas[cnpj],empresas_filtradas[email])</f>
        <v>ESPECIALISTA_FISCAL_CAMPO@LINDE.COM</v>
      </c>
      <c r="Q92" t="str">
        <f>_xlfn.XLOOKUP(empresas_identificadas_complementadas[[#This Row],[cnpj]],empresas_filtradas!A:A,empresas_filtradas!M:M)</f>
        <v>Potencial Planta</v>
      </c>
    </row>
    <row r="93" spans="1:17" x14ac:dyDescent="0.25">
      <c r="A93">
        <v>35820448013548</v>
      </c>
      <c r="B93" t="s">
        <v>2</v>
      </c>
      <c r="C93" t="s">
        <v>751</v>
      </c>
      <c r="D93">
        <v>35930395</v>
      </c>
      <c r="E93" t="s">
        <v>17</v>
      </c>
      <c r="F93">
        <v>4723</v>
      </c>
      <c r="G93" t="s">
        <v>850</v>
      </c>
      <c r="H93" t="s">
        <v>749</v>
      </c>
      <c r="I93">
        <v>4.2</v>
      </c>
      <c r="J93">
        <v>-19.819890000000001</v>
      </c>
      <c r="K93">
        <v>-43.133688300000003</v>
      </c>
      <c r="L93" t="s">
        <v>742</v>
      </c>
      <c r="M93" t="s">
        <v>851</v>
      </c>
      <c r="N93" t="s">
        <v>17</v>
      </c>
      <c r="P93" t="str">
        <f>_xlfn.XLOOKUP(empresas_identificadas_complementadas[[#This Row],[cnpj]],empresas_filtradas[cnpj],empresas_filtradas[email])</f>
        <v>ATENDIMENTO@SAC.WHITEMARTINS.COM.BR</v>
      </c>
      <c r="Q93" t="str">
        <f>_xlfn.XLOOKUP(empresas_identificadas_complementadas[[#This Row],[cnpj]],empresas_filtradas!A:A,empresas_filtradas!M:M)</f>
        <v>Potencial Planta</v>
      </c>
    </row>
    <row r="94" spans="1:17" x14ac:dyDescent="0.25">
      <c r="A94">
        <v>331788002324</v>
      </c>
      <c r="B94" t="s">
        <v>2</v>
      </c>
      <c r="C94" t="s">
        <v>751</v>
      </c>
      <c r="D94">
        <v>4220002</v>
      </c>
      <c r="E94" t="s">
        <v>32</v>
      </c>
      <c r="F94">
        <v>7107</v>
      </c>
      <c r="G94" t="s">
        <v>798</v>
      </c>
      <c r="H94" t="s">
        <v>799</v>
      </c>
      <c r="I94">
        <v>13.7</v>
      </c>
      <c r="J94">
        <v>-23.59834</v>
      </c>
      <c r="K94">
        <v>-46.586442599999998</v>
      </c>
      <c r="L94" t="s">
        <v>742</v>
      </c>
      <c r="M94" t="s">
        <v>841</v>
      </c>
      <c r="N94" t="s">
        <v>32</v>
      </c>
      <c r="P94" t="str">
        <f>_xlfn.XLOOKUP(empresas_identificadas_complementadas[[#This Row],[cnpj]],empresas_filtradas[cnpj],empresas_filtradas[email])</f>
        <v>BRALB-PARALEGAL@AIRLIQUIDE.COM</v>
      </c>
      <c r="Q94" t="str">
        <f>_xlfn.XLOOKUP(empresas_identificadas_complementadas[[#This Row],[cnpj]],empresas_filtradas!A:A,empresas_filtradas!M:M)</f>
        <v>Potencial Planta</v>
      </c>
    </row>
    <row r="95" spans="1:17" x14ac:dyDescent="0.25">
      <c r="A95">
        <v>35820448004476</v>
      </c>
      <c r="B95" t="s">
        <v>2</v>
      </c>
      <c r="C95" t="s">
        <v>751</v>
      </c>
      <c r="D95">
        <v>35960000</v>
      </c>
      <c r="E95" t="s">
        <v>17</v>
      </c>
      <c r="F95">
        <v>5143</v>
      </c>
      <c r="G95" t="s">
        <v>850</v>
      </c>
      <c r="H95" t="s">
        <v>749</v>
      </c>
      <c r="I95">
        <v>30.18</v>
      </c>
      <c r="J95">
        <v>-19.959444000000001</v>
      </c>
      <c r="K95">
        <v>-43.415278000000001</v>
      </c>
      <c r="L95" t="s">
        <v>742</v>
      </c>
      <c r="M95" t="s">
        <v>852</v>
      </c>
      <c r="N95" t="s">
        <v>17</v>
      </c>
      <c r="P95" t="str">
        <f>_xlfn.XLOOKUP(empresas_identificadas_complementadas[[#This Row],[cnpj]],empresas_filtradas[cnpj],empresas_filtradas[email])</f>
        <v>ATENDIMENTO@SAC.WHITEMARTINS.COM.BR</v>
      </c>
      <c r="Q95" t="str">
        <f>_xlfn.XLOOKUP(empresas_identificadas_complementadas[[#This Row],[cnpj]],empresas_filtradas!A:A,empresas_filtradas!M:M)</f>
        <v>Potencial Planta</v>
      </c>
    </row>
    <row r="96" spans="1:17" x14ac:dyDescent="0.25">
      <c r="A96">
        <v>60619202002515</v>
      </c>
      <c r="B96" t="s">
        <v>2</v>
      </c>
      <c r="C96" t="s">
        <v>744</v>
      </c>
      <c r="D96">
        <v>14165428</v>
      </c>
      <c r="E96" t="s">
        <v>32</v>
      </c>
      <c r="F96">
        <v>7135</v>
      </c>
      <c r="G96" t="s">
        <v>745</v>
      </c>
      <c r="H96" t="s">
        <v>746</v>
      </c>
      <c r="I96">
        <v>154.72</v>
      </c>
      <c r="J96">
        <v>-21.1375782</v>
      </c>
      <c r="K96">
        <v>-47.991374100000002</v>
      </c>
      <c r="L96" t="s">
        <v>742</v>
      </c>
      <c r="M96" t="s">
        <v>853</v>
      </c>
      <c r="N96" t="s">
        <v>32</v>
      </c>
      <c r="O96" t="s">
        <v>755</v>
      </c>
      <c r="P96" t="str">
        <f>_xlfn.XLOOKUP(empresas_identificadas_complementadas[[#This Row],[cnpj]],empresas_filtradas[cnpj],empresas_filtradas[email])</f>
        <v>TAX.COMPLIANCE@MESSER-BR.COM</v>
      </c>
      <c r="Q96" t="str">
        <f>_xlfn.XLOOKUP(empresas_identificadas_complementadas[[#This Row],[cnpj]],empresas_filtradas!A:A,empresas_filtradas!M:M)</f>
        <v>Não Planta</v>
      </c>
    </row>
    <row r="97" spans="1:17" x14ac:dyDescent="0.25">
      <c r="A97">
        <v>331788002758</v>
      </c>
      <c r="B97" t="s">
        <v>2</v>
      </c>
      <c r="C97" t="s">
        <v>751</v>
      </c>
      <c r="D97">
        <v>92320110</v>
      </c>
      <c r="E97" t="s">
        <v>117</v>
      </c>
      <c r="F97">
        <v>8589</v>
      </c>
      <c r="G97" t="s">
        <v>804</v>
      </c>
      <c r="H97" t="s">
        <v>802</v>
      </c>
      <c r="I97">
        <v>1.51</v>
      </c>
      <c r="J97">
        <v>-29.925311600000001</v>
      </c>
      <c r="K97">
        <v>-51.185977000000001</v>
      </c>
      <c r="L97" t="s">
        <v>742</v>
      </c>
      <c r="M97" t="s">
        <v>811</v>
      </c>
      <c r="N97" t="s">
        <v>117</v>
      </c>
      <c r="P97" t="str">
        <f>_xlfn.XLOOKUP(empresas_identificadas_complementadas[[#This Row],[cnpj]],empresas_filtradas[cnpj],empresas_filtradas[email])</f>
        <v>BRALB-PARALEGAL@AIRLIQUIDE.COM</v>
      </c>
      <c r="Q97" t="str">
        <f>_xlfn.XLOOKUP(empresas_identificadas_complementadas[[#This Row],[cnpj]],empresas_filtradas!A:A,empresas_filtradas!M:M)</f>
        <v>Potencial Planta</v>
      </c>
    </row>
    <row r="98" spans="1:17" x14ac:dyDescent="0.25">
      <c r="A98">
        <v>35820448014005</v>
      </c>
      <c r="B98" t="s">
        <v>2</v>
      </c>
      <c r="C98" t="s">
        <v>751</v>
      </c>
      <c r="D98">
        <v>27211130</v>
      </c>
      <c r="E98" t="s">
        <v>27</v>
      </c>
      <c r="F98">
        <v>5925</v>
      </c>
      <c r="G98" t="s">
        <v>828</v>
      </c>
      <c r="H98" t="s">
        <v>749</v>
      </c>
      <c r="I98">
        <v>4.08</v>
      </c>
      <c r="J98">
        <v>-22.491040399999999</v>
      </c>
      <c r="K98">
        <v>-44.084548699999999</v>
      </c>
      <c r="L98" t="s">
        <v>742</v>
      </c>
      <c r="M98" t="s">
        <v>854</v>
      </c>
      <c r="N98" t="s">
        <v>27</v>
      </c>
      <c r="P98" t="str">
        <f>_xlfn.XLOOKUP(empresas_identificadas_complementadas[[#This Row],[cnpj]],empresas_filtradas[cnpj],empresas_filtradas[email])</f>
        <v>ATENDIMENTO@SAC.WHITEMARTINS.COM.BR</v>
      </c>
      <c r="Q98" t="str">
        <f>_xlfn.XLOOKUP(empresas_identificadas_complementadas[[#This Row],[cnpj]],empresas_filtradas!A:A,empresas_filtradas!M:M)</f>
        <v>Potencial Planta</v>
      </c>
    </row>
    <row r="99" spans="1:17" x14ac:dyDescent="0.25">
      <c r="A99">
        <v>35820448008544</v>
      </c>
      <c r="B99" t="s">
        <v>2</v>
      </c>
      <c r="C99" t="s">
        <v>739</v>
      </c>
      <c r="D99">
        <v>13064798</v>
      </c>
      <c r="E99" t="s">
        <v>32</v>
      </c>
      <c r="F99">
        <v>6291</v>
      </c>
      <c r="G99" t="s">
        <v>752</v>
      </c>
      <c r="H99" t="s">
        <v>753</v>
      </c>
      <c r="I99">
        <v>21.33</v>
      </c>
      <c r="J99">
        <v>-22.905639099999998</v>
      </c>
      <c r="K99">
        <v>-47.059564000000002</v>
      </c>
      <c r="L99" t="s">
        <v>742</v>
      </c>
      <c r="M99" t="s">
        <v>819</v>
      </c>
      <c r="N99" t="s">
        <v>32</v>
      </c>
      <c r="O99" t="s">
        <v>755</v>
      </c>
      <c r="P99" t="str">
        <f>_xlfn.XLOOKUP(empresas_identificadas_complementadas[[#This Row],[cnpj]],empresas_filtradas[cnpj],empresas_filtradas[email])</f>
        <v>ATENDIMENTO@SAC.WHITEMARTINS.COM.BR</v>
      </c>
      <c r="Q99" t="str">
        <f>_xlfn.XLOOKUP(empresas_identificadas_complementadas[[#This Row],[cnpj]],empresas_filtradas!A:A,empresas_filtradas!M:M)</f>
        <v>Não Planta</v>
      </c>
    </row>
    <row r="100" spans="1:17" x14ac:dyDescent="0.25">
      <c r="A100">
        <v>10590049000103</v>
      </c>
      <c r="B100" t="s">
        <v>2</v>
      </c>
      <c r="D100">
        <v>19913520</v>
      </c>
      <c r="E100" t="s">
        <v>32</v>
      </c>
      <c r="F100">
        <v>6795</v>
      </c>
      <c r="G100" t="s">
        <v>752</v>
      </c>
      <c r="H100" t="s">
        <v>753</v>
      </c>
      <c r="I100">
        <v>281.13</v>
      </c>
      <c r="J100">
        <v>-22.977791799999999</v>
      </c>
      <c r="K100">
        <v>-49.868203999999999</v>
      </c>
      <c r="L100" t="s">
        <v>742</v>
      </c>
      <c r="M100" t="s">
        <v>855</v>
      </c>
      <c r="N100" t="s">
        <v>32</v>
      </c>
      <c r="O100" t="s">
        <v>755</v>
      </c>
      <c r="P100" t="str">
        <f>_xlfn.XLOOKUP(empresas_identificadas_complementadas[[#This Row],[cnpj]],empresas_filtradas[cnpj],empresas_filtradas[email])</f>
        <v>LG@LGCOMGAS.COM.BR</v>
      </c>
      <c r="Q100" t="str">
        <f>_xlfn.XLOOKUP(empresas_identificadas_complementadas[[#This Row],[cnpj]],empresas_filtradas!A:A,empresas_filtradas!M:M)</f>
        <v>Sem Relação</v>
      </c>
    </row>
    <row r="101" spans="1:17" x14ac:dyDescent="0.25">
      <c r="A101">
        <v>35820448019589</v>
      </c>
      <c r="B101" t="s">
        <v>2</v>
      </c>
      <c r="C101" t="s">
        <v>751</v>
      </c>
      <c r="D101">
        <v>35498000</v>
      </c>
      <c r="E101" t="s">
        <v>17</v>
      </c>
      <c r="F101">
        <v>4707</v>
      </c>
      <c r="G101" t="s">
        <v>856</v>
      </c>
      <c r="H101" t="s">
        <v>749</v>
      </c>
      <c r="I101">
        <v>29.94</v>
      </c>
      <c r="J101">
        <v>-20.535381600000001</v>
      </c>
      <c r="K101">
        <v>-43.983345999999997</v>
      </c>
      <c r="L101" t="s">
        <v>742</v>
      </c>
      <c r="M101" t="s">
        <v>857</v>
      </c>
      <c r="N101" t="s">
        <v>17</v>
      </c>
      <c r="P101" t="str">
        <f>_xlfn.XLOOKUP(empresas_identificadas_complementadas[[#This Row],[cnpj]],empresas_filtradas[cnpj],empresas_filtradas[email])</f>
        <v>ATENDIMENTO@SAC.WHITEMARTINS.COM.BR</v>
      </c>
      <c r="Q101" t="str">
        <f>_xlfn.XLOOKUP(empresas_identificadas_complementadas[[#This Row],[cnpj]],empresas_filtradas!A:A,empresas_filtradas!M:M)</f>
        <v>Potencial Planta</v>
      </c>
    </row>
    <row r="102" spans="1:17" x14ac:dyDescent="0.25">
      <c r="A102">
        <v>331788006311</v>
      </c>
      <c r="B102" t="s">
        <v>2</v>
      </c>
      <c r="C102" t="s">
        <v>744</v>
      </c>
      <c r="D102">
        <v>65919050</v>
      </c>
      <c r="E102" t="s">
        <v>56</v>
      </c>
      <c r="F102">
        <v>803</v>
      </c>
      <c r="G102" t="s">
        <v>784</v>
      </c>
      <c r="H102" t="s">
        <v>785</v>
      </c>
      <c r="I102">
        <v>460.83</v>
      </c>
      <c r="J102">
        <v>-5.4957915000000002</v>
      </c>
      <c r="K102">
        <v>-47.4961761</v>
      </c>
      <c r="L102" t="s">
        <v>742</v>
      </c>
      <c r="M102" t="s">
        <v>858</v>
      </c>
      <c r="N102" t="s">
        <v>56</v>
      </c>
      <c r="P102" t="str">
        <f>_xlfn.XLOOKUP(empresas_identificadas_complementadas[[#This Row],[cnpj]],empresas_filtradas[cnpj],empresas_filtradas[email])</f>
        <v>BRALB-PARALEGAL@AIRLIQUIDE.COM</v>
      </c>
      <c r="Q102" t="str">
        <f>_xlfn.XLOOKUP(empresas_identificadas_complementadas[[#This Row],[cnpj]],empresas_filtradas!A:A,empresas_filtradas!M:M)</f>
        <v>Não Planta</v>
      </c>
    </row>
    <row r="103" spans="1:17" x14ac:dyDescent="0.25">
      <c r="A103">
        <v>35820448020242</v>
      </c>
      <c r="B103" t="s">
        <v>2</v>
      </c>
      <c r="C103" t="s">
        <v>751</v>
      </c>
      <c r="D103">
        <v>30640010</v>
      </c>
      <c r="E103" t="s">
        <v>17</v>
      </c>
      <c r="F103">
        <v>4123</v>
      </c>
      <c r="G103" t="s">
        <v>788</v>
      </c>
      <c r="H103" t="s">
        <v>789</v>
      </c>
      <c r="I103">
        <v>1.56</v>
      </c>
      <c r="J103">
        <v>-19.974087699999998</v>
      </c>
      <c r="K103">
        <v>-44.013078299999997</v>
      </c>
      <c r="L103" t="s">
        <v>742</v>
      </c>
      <c r="M103" t="s">
        <v>859</v>
      </c>
      <c r="N103" t="s">
        <v>17</v>
      </c>
      <c r="P103" t="str">
        <f>_xlfn.XLOOKUP(empresas_identificadas_complementadas[[#This Row],[cnpj]],empresas_filtradas[cnpj],empresas_filtradas[email])</f>
        <v>ATENDIMENTO@SAC.WHITEMARTINS.COM.BR</v>
      </c>
      <c r="Q103" t="str">
        <f>_xlfn.XLOOKUP(empresas_identificadas_complementadas[[#This Row],[cnpj]],empresas_filtradas!A:A,empresas_filtradas!M:M)</f>
        <v>Potencial Planta</v>
      </c>
    </row>
    <row r="104" spans="1:17" x14ac:dyDescent="0.25">
      <c r="A104">
        <v>35820448020595</v>
      </c>
      <c r="B104" t="s">
        <v>2</v>
      </c>
      <c r="D104">
        <v>88820000</v>
      </c>
      <c r="E104" t="s">
        <v>65</v>
      </c>
      <c r="F104">
        <v>8137</v>
      </c>
      <c r="G104" t="s">
        <v>804</v>
      </c>
      <c r="H104" t="s">
        <v>802</v>
      </c>
      <c r="I104">
        <v>225.69</v>
      </c>
      <c r="J104">
        <v>-28.712960299999999</v>
      </c>
      <c r="K104">
        <v>-49.304814800000003</v>
      </c>
      <c r="L104" t="s">
        <v>742</v>
      </c>
      <c r="P104" t="str">
        <f>_xlfn.XLOOKUP(empresas_identificadas_complementadas[[#This Row],[cnpj]],empresas_filtradas[cnpj],empresas_filtradas[email])</f>
        <v>ATENDIMENTO@SAC.WHITEMARTINS.COM.BR</v>
      </c>
      <c r="Q104" t="str">
        <f>_xlfn.XLOOKUP(empresas_identificadas_complementadas[[#This Row],[cnpj]],empresas_filtradas!A:A,empresas_filtradas!M:M)</f>
        <v>Não Planta</v>
      </c>
    </row>
    <row r="105" spans="1:17" x14ac:dyDescent="0.25">
      <c r="A105">
        <v>74481011000410</v>
      </c>
      <c r="B105" t="s">
        <v>2</v>
      </c>
      <c r="C105" t="s">
        <v>744</v>
      </c>
      <c r="D105">
        <v>88850000</v>
      </c>
      <c r="E105" t="s">
        <v>65</v>
      </c>
      <c r="F105">
        <v>973</v>
      </c>
      <c r="G105" t="s">
        <v>804</v>
      </c>
      <c r="H105" t="s">
        <v>802</v>
      </c>
      <c r="I105">
        <v>210.2</v>
      </c>
      <c r="J105">
        <v>-28.7487602</v>
      </c>
      <c r="K105">
        <v>-49.473766099999999</v>
      </c>
      <c r="L105" t="s">
        <v>742</v>
      </c>
      <c r="M105" t="s">
        <v>860</v>
      </c>
      <c r="N105" t="s">
        <v>65</v>
      </c>
      <c r="P105" t="str">
        <f>_xlfn.XLOOKUP(empresas_identificadas_complementadas[[#This Row],[cnpj]],empresas_filtradas[cnpj],empresas_filtradas[email])</f>
        <v>NILSON@IBG.COM.BR</v>
      </c>
      <c r="Q105" t="str">
        <f>_xlfn.XLOOKUP(empresas_identificadas_complementadas[[#This Row],[cnpj]],empresas_filtradas!A:A,empresas_filtradas!M:M)</f>
        <v>Relação</v>
      </c>
    </row>
    <row r="106" spans="1:17" x14ac:dyDescent="0.25">
      <c r="A106">
        <v>331788006079</v>
      </c>
      <c r="B106" t="s">
        <v>2</v>
      </c>
      <c r="C106" t="s">
        <v>744</v>
      </c>
      <c r="D106">
        <v>88104790</v>
      </c>
      <c r="E106" t="s">
        <v>65</v>
      </c>
      <c r="F106">
        <v>8327</v>
      </c>
      <c r="G106" t="s">
        <v>801</v>
      </c>
      <c r="H106" t="s">
        <v>802</v>
      </c>
      <c r="I106">
        <v>238.02</v>
      </c>
      <c r="J106">
        <v>-27.619974899999999</v>
      </c>
      <c r="K106">
        <v>-48.654216599999998</v>
      </c>
      <c r="L106" t="s">
        <v>742</v>
      </c>
      <c r="M106" t="s">
        <v>861</v>
      </c>
      <c r="N106" t="s">
        <v>65</v>
      </c>
      <c r="P106" t="str">
        <f>_xlfn.XLOOKUP(empresas_identificadas_complementadas[[#This Row],[cnpj]],empresas_filtradas[cnpj],empresas_filtradas[email])</f>
        <v>BRALB-PARALEGAL@AIRLIQUIDE.COM</v>
      </c>
      <c r="Q106" t="str">
        <f>_xlfn.XLOOKUP(empresas_identificadas_complementadas[[#This Row],[cnpj]],empresas_filtradas!A:A,empresas_filtradas!M:M)</f>
        <v>Não Planta</v>
      </c>
    </row>
    <row r="107" spans="1:17" x14ac:dyDescent="0.25">
      <c r="A107">
        <v>331788002405</v>
      </c>
      <c r="B107" t="s">
        <v>2</v>
      </c>
      <c r="C107" t="s">
        <v>751</v>
      </c>
      <c r="D107">
        <v>54503010</v>
      </c>
      <c r="E107" t="s">
        <v>92</v>
      </c>
      <c r="F107">
        <v>2357</v>
      </c>
      <c r="G107" t="s">
        <v>796</v>
      </c>
      <c r="H107" t="s">
        <v>768</v>
      </c>
      <c r="I107">
        <v>14.96</v>
      </c>
      <c r="J107">
        <v>-8.2838945000000006</v>
      </c>
      <c r="K107">
        <v>-35.032098400000002</v>
      </c>
      <c r="L107" t="s">
        <v>742</v>
      </c>
      <c r="M107" t="s">
        <v>806</v>
      </c>
      <c r="N107" t="s">
        <v>92</v>
      </c>
      <c r="O107" t="s">
        <v>755</v>
      </c>
      <c r="P107" t="str">
        <f>_xlfn.XLOOKUP(empresas_identificadas_complementadas[[#This Row],[cnpj]],empresas_filtradas[cnpj],empresas_filtradas[email])</f>
        <v>BRALB-PARALEGAL@AIRLIQUIDE.COM</v>
      </c>
      <c r="Q107" t="str">
        <f>_xlfn.XLOOKUP(empresas_identificadas_complementadas[[#This Row],[cnpj]],empresas_filtradas!A:A,empresas_filtradas!M:M)</f>
        <v>Potencial Planta</v>
      </c>
    </row>
    <row r="108" spans="1:17" x14ac:dyDescent="0.25">
      <c r="A108">
        <v>24380578000421</v>
      </c>
      <c r="B108" t="s">
        <v>2</v>
      </c>
      <c r="C108" t="s">
        <v>751</v>
      </c>
      <c r="D108">
        <v>41230200</v>
      </c>
      <c r="E108" t="s">
        <v>60</v>
      </c>
      <c r="F108">
        <v>3849</v>
      </c>
      <c r="G108" t="s">
        <v>862</v>
      </c>
      <c r="H108" t="s">
        <v>753</v>
      </c>
      <c r="I108">
        <v>32.200000000000003</v>
      </c>
      <c r="J108">
        <v>-12.982249899999999</v>
      </c>
      <c r="K108">
        <v>-38.481277200000001</v>
      </c>
      <c r="L108" t="s">
        <v>742</v>
      </c>
      <c r="M108" t="s">
        <v>863</v>
      </c>
      <c r="N108" t="s">
        <v>60</v>
      </c>
      <c r="O108" t="s">
        <v>755</v>
      </c>
      <c r="P108" t="str">
        <f>_xlfn.XLOOKUP(empresas_identificadas_complementadas[[#This Row],[cnpj]],empresas_filtradas[cnpj],empresas_filtradas[email])</f>
        <v>ATENDIMENTO@SAC.WHITEMARTINS.COM.BR</v>
      </c>
      <c r="Q108" t="str">
        <f>_xlfn.XLOOKUP(empresas_identificadas_complementadas[[#This Row],[cnpj]],empresas_filtradas!A:A,empresas_filtradas!M:M)</f>
        <v>Potencial Planta</v>
      </c>
    </row>
    <row r="109" spans="1:17" x14ac:dyDescent="0.25">
      <c r="A109">
        <v>2605266000193</v>
      </c>
      <c r="B109" t="s">
        <v>2</v>
      </c>
      <c r="C109" t="s">
        <v>739</v>
      </c>
      <c r="D109">
        <v>6455911</v>
      </c>
      <c r="E109" t="s">
        <v>32</v>
      </c>
      <c r="F109">
        <v>6213</v>
      </c>
      <c r="G109" t="s">
        <v>798</v>
      </c>
      <c r="H109" t="s">
        <v>799</v>
      </c>
      <c r="I109">
        <v>44.6</v>
      </c>
      <c r="J109">
        <v>-23.511218400000001</v>
      </c>
      <c r="K109">
        <v>-46.876461200000001</v>
      </c>
      <c r="L109" t="s">
        <v>742</v>
      </c>
      <c r="M109" t="s">
        <v>814</v>
      </c>
      <c r="N109" t="s">
        <v>32</v>
      </c>
      <c r="O109" t="s">
        <v>755</v>
      </c>
      <c r="P109" t="str">
        <f>_xlfn.XLOOKUP(empresas_identificadas_complementadas[[#This Row],[cnpj]],empresas_filtradas[cnpj],empresas_filtradas[email])</f>
        <v>TAX.COMPLIANCE@MESSER-BR.COM</v>
      </c>
      <c r="Q109" t="str">
        <f>_xlfn.XLOOKUP(empresas_identificadas_complementadas[[#This Row],[cnpj]],empresas_filtradas!A:A,empresas_filtradas!M:M)</f>
        <v>Não Planta</v>
      </c>
    </row>
    <row r="110" spans="1:17" x14ac:dyDescent="0.25">
      <c r="A110">
        <v>35820448010018</v>
      </c>
      <c r="B110" t="s">
        <v>2</v>
      </c>
      <c r="C110" t="s">
        <v>751</v>
      </c>
      <c r="D110">
        <v>12305900</v>
      </c>
      <c r="E110" t="s">
        <v>32</v>
      </c>
      <c r="F110">
        <v>6589</v>
      </c>
      <c r="G110" t="s">
        <v>793</v>
      </c>
      <c r="H110" t="s">
        <v>794</v>
      </c>
      <c r="I110">
        <v>3.74</v>
      </c>
      <c r="J110">
        <v>-23.278404599999998</v>
      </c>
      <c r="K110">
        <v>-45.942638100000003</v>
      </c>
      <c r="L110" t="s">
        <v>864</v>
      </c>
      <c r="M110" t="s">
        <v>865</v>
      </c>
      <c r="N110" t="s">
        <v>32</v>
      </c>
      <c r="P110" t="str">
        <f>_xlfn.XLOOKUP(empresas_identificadas_complementadas[[#This Row],[cnpj]],empresas_filtradas[cnpj],empresas_filtradas[email])</f>
        <v>ATENDIMENTO@SAC.WHITEMARTINS.COM.BR</v>
      </c>
      <c r="Q110" t="str">
        <f>_xlfn.XLOOKUP(empresas_identificadas_complementadas[[#This Row],[cnpj]],empresas_filtradas!A:A,empresas_filtradas!M:M)</f>
        <v>Planta</v>
      </c>
    </row>
    <row r="111" spans="1:17" x14ac:dyDescent="0.25">
      <c r="A111">
        <v>35820448013700</v>
      </c>
      <c r="B111" t="s">
        <v>2</v>
      </c>
      <c r="C111" t="s">
        <v>744</v>
      </c>
      <c r="D111">
        <v>35502287</v>
      </c>
      <c r="E111" t="s">
        <v>17</v>
      </c>
      <c r="F111">
        <v>4445</v>
      </c>
      <c r="G111" t="s">
        <v>788</v>
      </c>
      <c r="H111" t="s">
        <v>789</v>
      </c>
      <c r="I111">
        <v>87.42</v>
      </c>
      <c r="J111">
        <v>-20.124745699999998</v>
      </c>
      <c r="K111">
        <v>-44.839167400000001</v>
      </c>
      <c r="L111" t="s">
        <v>742</v>
      </c>
      <c r="M111" t="s">
        <v>866</v>
      </c>
      <c r="N111" t="s">
        <v>17</v>
      </c>
      <c r="P111" t="str">
        <f>_xlfn.XLOOKUP(empresas_identificadas_complementadas[[#This Row],[cnpj]],empresas_filtradas[cnpj],empresas_filtradas[email])</f>
        <v>ATENDIMENTO@SAC.WHITEMARTINS.COM.BR</v>
      </c>
      <c r="Q111" t="str">
        <f>_xlfn.XLOOKUP(empresas_identificadas_complementadas[[#This Row],[cnpj]],empresas_filtradas!A:A,empresas_filtradas!M:M)</f>
        <v>Não Planta</v>
      </c>
    </row>
    <row r="112" spans="1:17" x14ac:dyDescent="0.25">
      <c r="A112">
        <v>43843358000946</v>
      </c>
      <c r="B112" t="s">
        <v>2</v>
      </c>
      <c r="C112" t="s">
        <v>751</v>
      </c>
      <c r="D112">
        <v>30668273</v>
      </c>
      <c r="E112" t="s">
        <v>17</v>
      </c>
      <c r="F112">
        <v>4123</v>
      </c>
      <c r="G112" t="s">
        <v>788</v>
      </c>
      <c r="H112" t="s">
        <v>789</v>
      </c>
      <c r="I112">
        <v>2.25</v>
      </c>
      <c r="J112">
        <v>-20.004375</v>
      </c>
      <c r="K112">
        <v>-44.027596799999998</v>
      </c>
      <c r="L112" t="s">
        <v>742</v>
      </c>
      <c r="M112" t="s">
        <v>859</v>
      </c>
      <c r="N112" t="s">
        <v>17</v>
      </c>
      <c r="P112" t="str">
        <f>_xlfn.XLOOKUP(empresas_identificadas_complementadas[[#This Row],[cnpj]],empresas_filtradas[cnpj],empresas_filtradas[email])</f>
        <v>IMPNFE@AIRPRODUCTS.COM</v>
      </c>
      <c r="Q112" t="str">
        <f>_xlfn.XLOOKUP(empresas_identificadas_complementadas[[#This Row],[cnpj]],empresas_filtradas!A:A,empresas_filtradas!M:M)</f>
        <v>Potencial Planta</v>
      </c>
    </row>
    <row r="113" spans="1:17" x14ac:dyDescent="0.25">
      <c r="A113">
        <v>60619202000903</v>
      </c>
      <c r="B113" t="s">
        <v>2</v>
      </c>
      <c r="C113" t="s">
        <v>751</v>
      </c>
      <c r="D113">
        <v>43700000</v>
      </c>
      <c r="E113" t="s">
        <v>60</v>
      </c>
      <c r="F113">
        <v>3913</v>
      </c>
      <c r="G113" t="s">
        <v>759</v>
      </c>
      <c r="H113" t="s">
        <v>760</v>
      </c>
      <c r="I113">
        <v>15.32</v>
      </c>
      <c r="J113">
        <v>-12.7992662</v>
      </c>
      <c r="K113">
        <v>-38.417414000000001</v>
      </c>
      <c r="L113" t="s">
        <v>742</v>
      </c>
      <c r="P113" t="str">
        <f>_xlfn.XLOOKUP(empresas_identificadas_complementadas[[#This Row],[cnpj]],empresas_filtradas[cnpj],empresas_filtradas[email])</f>
        <v>TAX.COMPLIANCE@MESSER-BR.COM</v>
      </c>
      <c r="Q113" t="str">
        <f>_xlfn.XLOOKUP(empresas_identificadas_complementadas[[#This Row],[cnpj]],empresas_filtradas!A:A,empresas_filtradas!M:M)</f>
        <v>Potencial Planta</v>
      </c>
    </row>
    <row r="114" spans="1:17" x14ac:dyDescent="0.25">
      <c r="A114">
        <v>60619202005964</v>
      </c>
      <c r="B114" t="s">
        <v>2</v>
      </c>
      <c r="C114" t="s">
        <v>751</v>
      </c>
      <c r="D114">
        <v>92420360</v>
      </c>
      <c r="E114" t="s">
        <v>117</v>
      </c>
      <c r="F114">
        <v>8589</v>
      </c>
      <c r="G114" t="s">
        <v>804</v>
      </c>
      <c r="H114" t="s">
        <v>802</v>
      </c>
      <c r="I114">
        <v>1.1100000000000001</v>
      </c>
      <c r="J114">
        <v>-29.921604500000001</v>
      </c>
      <c r="K114">
        <v>-51.179952499999999</v>
      </c>
      <c r="L114" t="s">
        <v>742</v>
      </c>
      <c r="M114" t="s">
        <v>811</v>
      </c>
      <c r="N114" t="s">
        <v>117</v>
      </c>
      <c r="O114" t="s">
        <v>755</v>
      </c>
      <c r="P114" t="str">
        <f>_xlfn.XLOOKUP(empresas_identificadas_complementadas[[#This Row],[cnpj]],empresas_filtradas[cnpj],empresas_filtradas[email])</f>
        <v>TAX.COMPLIANCE@MESSER-BR.COM</v>
      </c>
      <c r="Q114" t="str">
        <f>_xlfn.XLOOKUP(empresas_identificadas_complementadas[[#This Row],[cnpj]],empresas_filtradas!A:A,empresas_filtradas!M:M)</f>
        <v>Potencial Planta</v>
      </c>
    </row>
    <row r="115" spans="1:17" x14ac:dyDescent="0.25">
      <c r="A115">
        <v>331788003304</v>
      </c>
      <c r="B115" t="s">
        <v>2</v>
      </c>
      <c r="C115" t="s">
        <v>751</v>
      </c>
      <c r="D115">
        <v>81170200</v>
      </c>
      <c r="E115" t="s">
        <v>45</v>
      </c>
      <c r="F115">
        <v>7535</v>
      </c>
      <c r="G115" t="s">
        <v>801</v>
      </c>
      <c r="H115" t="s">
        <v>802</v>
      </c>
      <c r="I115">
        <v>22.09</v>
      </c>
      <c r="J115">
        <v>-25.4295963</v>
      </c>
      <c r="K115">
        <v>-49.271272400000001</v>
      </c>
      <c r="L115" t="s">
        <v>742</v>
      </c>
      <c r="M115" t="s">
        <v>803</v>
      </c>
      <c r="N115" t="s">
        <v>45</v>
      </c>
      <c r="O115" t="s">
        <v>755</v>
      </c>
      <c r="P115" t="str">
        <f>_xlfn.XLOOKUP(empresas_identificadas_complementadas[[#This Row],[cnpj]],empresas_filtradas[cnpj],empresas_filtradas[email])</f>
        <v>BRALB-PARALEGAL@AIRLIQUIDE.COM</v>
      </c>
      <c r="Q115" t="str">
        <f>_xlfn.XLOOKUP(empresas_identificadas_complementadas[[#This Row],[cnpj]],empresas_filtradas!A:A,empresas_filtradas!M:M)</f>
        <v>Potencial Planta</v>
      </c>
    </row>
    <row r="116" spans="1:17" x14ac:dyDescent="0.25">
      <c r="A116">
        <v>35820448013386</v>
      </c>
      <c r="B116" t="s">
        <v>2</v>
      </c>
      <c r="C116" t="s">
        <v>751</v>
      </c>
      <c r="D116">
        <v>36413170</v>
      </c>
      <c r="E116" t="s">
        <v>17</v>
      </c>
      <c r="F116">
        <v>4359</v>
      </c>
      <c r="G116" t="s">
        <v>856</v>
      </c>
      <c r="H116" t="s">
        <v>749</v>
      </c>
      <c r="I116">
        <v>10.43</v>
      </c>
      <c r="J116">
        <v>-20.5162771</v>
      </c>
      <c r="K116">
        <v>-43.795625700000002</v>
      </c>
      <c r="L116" t="s">
        <v>742</v>
      </c>
      <c r="M116" t="s">
        <v>867</v>
      </c>
      <c r="N116" t="s">
        <v>17</v>
      </c>
      <c r="P116" t="str">
        <f>_xlfn.XLOOKUP(empresas_identificadas_complementadas[[#This Row],[cnpj]],empresas_filtradas[cnpj],empresas_filtradas[email])</f>
        <v>ATENDIMENTO@SAC.WHITEMARTINS.COM.BR</v>
      </c>
      <c r="Q116" t="str">
        <f>_xlfn.XLOOKUP(empresas_identificadas_complementadas[[#This Row],[cnpj]],empresas_filtradas!A:A,empresas_filtradas!M:M)</f>
        <v>Potencial Planta</v>
      </c>
    </row>
    <row r="117" spans="1:17" x14ac:dyDescent="0.25">
      <c r="A117">
        <v>60619202003910</v>
      </c>
      <c r="B117" t="s">
        <v>2</v>
      </c>
      <c r="C117" t="s">
        <v>751</v>
      </c>
      <c r="D117">
        <v>13212240</v>
      </c>
      <c r="E117" t="s">
        <v>32</v>
      </c>
      <c r="F117">
        <v>6619</v>
      </c>
      <c r="G117" t="s">
        <v>752</v>
      </c>
      <c r="H117" t="s">
        <v>753</v>
      </c>
      <c r="I117">
        <v>57.43</v>
      </c>
      <c r="J117">
        <v>-23.1887668</v>
      </c>
      <c r="K117">
        <v>-46.884506000000002</v>
      </c>
      <c r="L117" t="s">
        <v>742</v>
      </c>
      <c r="M117" t="s">
        <v>773</v>
      </c>
      <c r="N117" t="s">
        <v>32</v>
      </c>
      <c r="O117" t="s">
        <v>755</v>
      </c>
      <c r="P117" t="str">
        <f>_xlfn.XLOOKUP(empresas_identificadas_complementadas[[#This Row],[cnpj]],empresas_filtradas[cnpj],empresas_filtradas[email])</f>
        <v>TAX.COMPLIANCE@MESSER-BR.COM</v>
      </c>
      <c r="Q117" t="str">
        <f>_xlfn.XLOOKUP(empresas_identificadas_complementadas[[#This Row],[cnpj]],empresas_filtradas!A:A,empresas_filtradas!M:M)</f>
        <v>Potencial Planta</v>
      </c>
    </row>
    <row r="118" spans="1:17" x14ac:dyDescent="0.25">
      <c r="A118">
        <v>43843358002051</v>
      </c>
      <c r="B118" t="s">
        <v>2</v>
      </c>
      <c r="C118" t="s">
        <v>751</v>
      </c>
      <c r="D118">
        <v>12340901</v>
      </c>
      <c r="E118" t="s">
        <v>32</v>
      </c>
      <c r="F118">
        <v>6589</v>
      </c>
      <c r="G118" t="s">
        <v>793</v>
      </c>
      <c r="H118" t="s">
        <v>794</v>
      </c>
      <c r="I118">
        <v>6.42</v>
      </c>
      <c r="J118">
        <v>-23.349537999999999</v>
      </c>
      <c r="K118">
        <v>-46.005027300000002</v>
      </c>
      <c r="L118" t="s">
        <v>742</v>
      </c>
      <c r="M118" t="s">
        <v>865</v>
      </c>
      <c r="N118" t="s">
        <v>32</v>
      </c>
      <c r="P118" t="str">
        <f>_xlfn.XLOOKUP(empresas_identificadas_complementadas[[#This Row],[cnpj]],empresas_filtradas[cnpj],empresas_filtradas[email])</f>
        <v>IMPNFE@AIRPRODUCTS.COM</v>
      </c>
      <c r="Q118" t="str">
        <f>_xlfn.XLOOKUP(empresas_identificadas_complementadas[[#This Row],[cnpj]],empresas_filtradas!A:A,empresas_filtradas!M:M)</f>
        <v>Potencial Planta</v>
      </c>
    </row>
    <row r="119" spans="1:17" x14ac:dyDescent="0.25">
      <c r="A119">
        <v>35820448000217</v>
      </c>
      <c r="B119" t="s">
        <v>2</v>
      </c>
      <c r="C119" t="s">
        <v>751</v>
      </c>
      <c r="D119">
        <v>27255430</v>
      </c>
      <c r="E119" t="s">
        <v>27</v>
      </c>
      <c r="F119">
        <v>5925</v>
      </c>
      <c r="G119" t="s">
        <v>828</v>
      </c>
      <c r="H119" t="s">
        <v>749</v>
      </c>
      <c r="I119">
        <v>0.82</v>
      </c>
      <c r="J119">
        <v>-22.523313900000002</v>
      </c>
      <c r="K119">
        <v>-44.096049200000003</v>
      </c>
      <c r="L119" t="s">
        <v>742</v>
      </c>
      <c r="M119" t="s">
        <v>854</v>
      </c>
      <c r="N119" t="s">
        <v>27</v>
      </c>
      <c r="P119" t="str">
        <f>_xlfn.XLOOKUP(empresas_identificadas_complementadas[[#This Row],[cnpj]],empresas_filtradas[cnpj],empresas_filtradas[email])</f>
        <v>ATENDIMENTO@SAC.WHITEMARTINS.COM.BR</v>
      </c>
      <c r="Q119" t="str">
        <f>_xlfn.XLOOKUP(empresas_identificadas_complementadas[[#This Row],[cnpj]],empresas_filtradas!A:A,empresas_filtradas!M:M)</f>
        <v>Potencial Planta</v>
      </c>
    </row>
    <row r="120" spans="1:17" x14ac:dyDescent="0.25">
      <c r="A120">
        <v>331788002677</v>
      </c>
      <c r="B120" t="s">
        <v>2</v>
      </c>
      <c r="C120" t="s">
        <v>739</v>
      </c>
      <c r="D120">
        <v>92702320</v>
      </c>
      <c r="E120" t="s">
        <v>117</v>
      </c>
      <c r="F120">
        <v>8685</v>
      </c>
      <c r="G120" t="s">
        <v>804</v>
      </c>
      <c r="H120" t="s">
        <v>802</v>
      </c>
      <c r="I120">
        <v>26.71</v>
      </c>
      <c r="J120">
        <v>-30.122813099999998</v>
      </c>
      <c r="K120">
        <v>-51.316004499999998</v>
      </c>
      <c r="L120" t="s">
        <v>742</v>
      </c>
      <c r="M120" t="s">
        <v>868</v>
      </c>
      <c r="N120" t="s">
        <v>117</v>
      </c>
      <c r="P120" t="str">
        <f>_xlfn.XLOOKUP(empresas_identificadas_complementadas[[#This Row],[cnpj]],empresas_filtradas[cnpj],empresas_filtradas[email])</f>
        <v>BRALB-PARALEGAL@AIRLIQUIDE.COM</v>
      </c>
      <c r="Q120" t="str">
        <f>_xlfn.XLOOKUP(empresas_identificadas_complementadas[[#This Row],[cnpj]],empresas_filtradas!A:A,empresas_filtradas!M:M)</f>
        <v>Não Planta</v>
      </c>
    </row>
    <row r="121" spans="1:17" x14ac:dyDescent="0.25">
      <c r="A121">
        <v>60619202001977</v>
      </c>
      <c r="B121" t="s">
        <v>2</v>
      </c>
      <c r="C121" t="s">
        <v>751</v>
      </c>
      <c r="D121">
        <v>38055000</v>
      </c>
      <c r="E121" t="s">
        <v>17</v>
      </c>
      <c r="F121">
        <v>5401</v>
      </c>
      <c r="G121" t="s">
        <v>745</v>
      </c>
      <c r="H121" t="s">
        <v>746</v>
      </c>
      <c r="I121">
        <v>2.8</v>
      </c>
      <c r="J121">
        <v>-19.745609099999999</v>
      </c>
      <c r="K121">
        <v>-47.9656734</v>
      </c>
      <c r="L121" t="s">
        <v>742</v>
      </c>
      <c r="M121" t="s">
        <v>869</v>
      </c>
      <c r="N121" t="s">
        <v>17</v>
      </c>
      <c r="P121" t="str">
        <f>_xlfn.XLOOKUP(empresas_identificadas_complementadas[[#This Row],[cnpj]],empresas_filtradas[cnpj],empresas_filtradas[email])</f>
        <v>TAX.COMPLIANCE@MESSER-BR.COM</v>
      </c>
      <c r="Q121" t="str">
        <f>_xlfn.XLOOKUP(empresas_identificadas_complementadas[[#This Row],[cnpj]],empresas_filtradas!A:A,empresas_filtradas!M:M)</f>
        <v>Potencial Planta</v>
      </c>
    </row>
    <row r="122" spans="1:17" x14ac:dyDescent="0.25">
      <c r="A122">
        <v>60619202005700</v>
      </c>
      <c r="B122" t="s">
        <v>2</v>
      </c>
      <c r="C122" t="s">
        <v>744</v>
      </c>
      <c r="D122">
        <v>17034310</v>
      </c>
      <c r="E122" t="s">
        <v>32</v>
      </c>
      <c r="F122">
        <v>6219</v>
      </c>
      <c r="G122" t="s">
        <v>752</v>
      </c>
      <c r="H122" t="s">
        <v>753</v>
      </c>
      <c r="I122">
        <v>199.6</v>
      </c>
      <c r="J122">
        <v>-22.3081517</v>
      </c>
      <c r="K122">
        <v>-49.027284100000003</v>
      </c>
      <c r="L122" t="s">
        <v>742</v>
      </c>
      <c r="M122" t="s">
        <v>758</v>
      </c>
      <c r="N122" t="s">
        <v>32</v>
      </c>
      <c r="P122" t="str">
        <f>_xlfn.XLOOKUP(empresas_identificadas_complementadas[[#This Row],[cnpj]],empresas_filtradas[cnpj],empresas_filtradas[email])</f>
        <v>TAX.COMPLIANCE@MESSER-BR.COM</v>
      </c>
      <c r="Q122" t="str">
        <f>_xlfn.XLOOKUP(empresas_identificadas_complementadas[[#This Row],[cnpj]],empresas_filtradas!A:A,empresas_filtradas!M:M)</f>
        <v>Não Planta</v>
      </c>
    </row>
    <row r="123" spans="1:17" x14ac:dyDescent="0.25">
      <c r="A123">
        <v>60619202002191</v>
      </c>
      <c r="B123" t="s">
        <v>2</v>
      </c>
      <c r="C123" t="s">
        <v>744</v>
      </c>
      <c r="D123">
        <v>89804570</v>
      </c>
      <c r="E123" t="s">
        <v>65</v>
      </c>
      <c r="F123">
        <v>8081</v>
      </c>
      <c r="G123" t="s">
        <v>771</v>
      </c>
      <c r="H123" t="s">
        <v>760</v>
      </c>
      <c r="I123">
        <v>332.77</v>
      </c>
      <c r="J123">
        <v>-27.093905100000001</v>
      </c>
      <c r="K123">
        <v>-52.648030200000001</v>
      </c>
      <c r="L123" t="s">
        <v>742</v>
      </c>
      <c r="M123" t="s">
        <v>870</v>
      </c>
      <c r="N123" t="s">
        <v>65</v>
      </c>
      <c r="P123" t="str">
        <f>_xlfn.XLOOKUP(empresas_identificadas_complementadas[[#This Row],[cnpj]],empresas_filtradas[cnpj],empresas_filtradas[email])</f>
        <v>TAX.COMPLIANCE@MESSER-BR.COM</v>
      </c>
      <c r="Q123" t="str">
        <f>_xlfn.XLOOKUP(empresas_identificadas_complementadas[[#This Row],[cnpj]],empresas_filtradas!A:A,empresas_filtradas!M:M)</f>
        <v>Não Planta</v>
      </c>
    </row>
    <row r="124" spans="1:17" x14ac:dyDescent="0.25">
      <c r="A124">
        <v>35820448019660</v>
      </c>
      <c r="B124" t="s">
        <v>2</v>
      </c>
      <c r="C124" t="s">
        <v>751</v>
      </c>
      <c r="D124">
        <v>9154900</v>
      </c>
      <c r="E124" t="s">
        <v>32</v>
      </c>
      <c r="F124">
        <v>7057</v>
      </c>
      <c r="G124" t="s">
        <v>798</v>
      </c>
      <c r="H124" t="s">
        <v>799</v>
      </c>
      <c r="I124">
        <v>5.94</v>
      </c>
      <c r="J124">
        <v>-23.6533509</v>
      </c>
      <c r="K124">
        <v>-46.527903899999998</v>
      </c>
      <c r="L124" t="s">
        <v>742</v>
      </c>
      <c r="M124" t="s">
        <v>809</v>
      </c>
      <c r="N124" t="s">
        <v>32</v>
      </c>
      <c r="O124" t="s">
        <v>755</v>
      </c>
      <c r="P124" t="str">
        <f>_xlfn.XLOOKUP(empresas_identificadas_complementadas[[#This Row],[cnpj]],empresas_filtradas[cnpj],empresas_filtradas[email])</f>
        <v>ATENDIMENTO@SAC.WHITEMARTINS.COM.BR</v>
      </c>
      <c r="Q124" t="str">
        <f>_xlfn.XLOOKUP(empresas_identificadas_complementadas[[#This Row],[cnpj]],empresas_filtradas!A:A,empresas_filtradas!M:M)</f>
        <v>Planta</v>
      </c>
    </row>
    <row r="125" spans="1:17" x14ac:dyDescent="0.25">
      <c r="A125">
        <v>35820448019236</v>
      </c>
      <c r="B125" t="s">
        <v>2</v>
      </c>
      <c r="C125" t="s">
        <v>744</v>
      </c>
      <c r="D125">
        <v>79641300</v>
      </c>
      <c r="E125" t="s">
        <v>62</v>
      </c>
      <c r="F125">
        <v>9165</v>
      </c>
      <c r="G125" t="s">
        <v>745</v>
      </c>
      <c r="H125" t="s">
        <v>746</v>
      </c>
      <c r="I125">
        <v>409.34</v>
      </c>
      <c r="J125">
        <v>-20.787649999999999</v>
      </c>
      <c r="K125">
        <v>-51.703380000000003</v>
      </c>
      <c r="L125" t="s">
        <v>864</v>
      </c>
      <c r="M125" t="s">
        <v>762</v>
      </c>
      <c r="N125" t="s">
        <v>62</v>
      </c>
      <c r="P125" t="str">
        <f>_xlfn.XLOOKUP(empresas_identificadas_complementadas[[#This Row],[cnpj]],empresas_filtradas[cnpj],empresas_filtradas[email])</f>
        <v>ATENDIMENTO@SAC.WHITEMARTINS.COM.BR</v>
      </c>
      <c r="Q125" t="str">
        <f>_xlfn.XLOOKUP(empresas_identificadas_complementadas[[#This Row],[cnpj]],empresas_filtradas!A:A,empresas_filtradas!M:M)</f>
        <v>Não Planta</v>
      </c>
    </row>
    <row r="126" spans="1:17" x14ac:dyDescent="0.25">
      <c r="A126">
        <v>331788005005</v>
      </c>
      <c r="B126" t="s">
        <v>2</v>
      </c>
      <c r="C126" t="s">
        <v>744</v>
      </c>
      <c r="D126">
        <v>89810168</v>
      </c>
      <c r="E126" t="s">
        <v>65</v>
      </c>
      <c r="F126">
        <v>8081</v>
      </c>
      <c r="G126" t="s">
        <v>771</v>
      </c>
      <c r="H126" t="s">
        <v>760</v>
      </c>
      <c r="I126">
        <v>335.16</v>
      </c>
      <c r="J126">
        <v>-27.065686199999998</v>
      </c>
      <c r="K126">
        <v>-52.632935500000002</v>
      </c>
      <c r="L126" t="s">
        <v>742</v>
      </c>
      <c r="M126" t="s">
        <v>870</v>
      </c>
      <c r="N126" t="s">
        <v>65</v>
      </c>
      <c r="P126" t="str">
        <f>_xlfn.XLOOKUP(empresas_identificadas_complementadas[[#This Row],[cnpj]],empresas_filtradas[cnpj],empresas_filtradas[email])</f>
        <v>BRALB-PARALEGAL@AIRLIQUIDE.COM</v>
      </c>
      <c r="Q126" t="str">
        <f>_xlfn.XLOOKUP(empresas_identificadas_complementadas[[#This Row],[cnpj]],empresas_filtradas!A:A,empresas_filtradas!M:M)</f>
        <v>Não Planta</v>
      </c>
    </row>
    <row r="127" spans="1:17" x14ac:dyDescent="0.25">
      <c r="A127">
        <v>35820448021567</v>
      </c>
      <c r="B127" t="s">
        <v>2</v>
      </c>
      <c r="C127" t="s">
        <v>744</v>
      </c>
      <c r="D127">
        <v>39205000</v>
      </c>
      <c r="E127" t="s">
        <v>17</v>
      </c>
      <c r="F127">
        <v>4115</v>
      </c>
      <c r="G127" t="s">
        <v>788</v>
      </c>
      <c r="H127" t="s">
        <v>789</v>
      </c>
      <c r="I127">
        <v>236.85</v>
      </c>
      <c r="J127">
        <v>-18.205153299999999</v>
      </c>
      <c r="K127">
        <v>-45.248431400000001</v>
      </c>
      <c r="L127" t="s">
        <v>742</v>
      </c>
      <c r="M127" t="s">
        <v>871</v>
      </c>
      <c r="N127" t="s">
        <v>17</v>
      </c>
      <c r="P127" t="str">
        <f>_xlfn.XLOOKUP(empresas_identificadas_complementadas[[#This Row],[cnpj]],empresas_filtradas[cnpj],empresas_filtradas[email])</f>
        <v>ATENDIMENTO@SAC.WHITEMARTINS.COM.BR</v>
      </c>
      <c r="Q127" t="str">
        <f>_xlfn.XLOOKUP(empresas_identificadas_complementadas[[#This Row],[cnpj]],empresas_filtradas!A:A,empresas_filtradas!M:M)</f>
        <v>Não Planta</v>
      </c>
    </row>
    <row r="128" spans="1:17" x14ac:dyDescent="0.25">
      <c r="A128">
        <v>24380578006896</v>
      </c>
      <c r="B128" t="s">
        <v>2</v>
      </c>
      <c r="C128" t="s">
        <v>751</v>
      </c>
      <c r="D128">
        <v>61939120</v>
      </c>
      <c r="E128" t="s">
        <v>108</v>
      </c>
      <c r="F128">
        <v>1585</v>
      </c>
      <c r="G128" t="s">
        <v>767</v>
      </c>
      <c r="H128" t="s">
        <v>768</v>
      </c>
      <c r="I128">
        <v>41.95</v>
      </c>
      <c r="J128">
        <v>-3.8779438000000002</v>
      </c>
      <c r="K128">
        <v>-38.624769700000002</v>
      </c>
      <c r="L128" t="s">
        <v>742</v>
      </c>
      <c r="M128" t="s">
        <v>872</v>
      </c>
      <c r="N128" t="s">
        <v>108</v>
      </c>
      <c r="O128" t="s">
        <v>755</v>
      </c>
      <c r="P128" t="str">
        <f>_xlfn.XLOOKUP(empresas_identificadas_complementadas[[#This Row],[cnpj]],empresas_filtradas[cnpj],empresas_filtradas[email])</f>
        <v>ATENDIMENTO@SAC.WHITEMARTINS.COM.BR</v>
      </c>
      <c r="Q128" t="str">
        <f>_xlfn.XLOOKUP(empresas_identificadas_complementadas[[#This Row],[cnpj]],empresas_filtradas!A:A,empresas_filtradas!M:M)</f>
        <v>Potencial Planta</v>
      </c>
    </row>
    <row r="129" spans="1:17" x14ac:dyDescent="0.25">
      <c r="A129">
        <v>35820448022377</v>
      </c>
      <c r="B129" t="s">
        <v>2</v>
      </c>
      <c r="C129" t="s">
        <v>744</v>
      </c>
      <c r="D129">
        <v>36092901</v>
      </c>
      <c r="E129" t="s">
        <v>17</v>
      </c>
      <c r="F129">
        <v>4733</v>
      </c>
      <c r="G129" t="s">
        <v>828</v>
      </c>
      <c r="H129" t="s">
        <v>749</v>
      </c>
      <c r="I129">
        <v>119.66</v>
      </c>
      <c r="J129">
        <v>-21.6420894</v>
      </c>
      <c r="K129">
        <v>-43.4369601</v>
      </c>
      <c r="L129" t="s">
        <v>742</v>
      </c>
      <c r="M129" t="s">
        <v>766</v>
      </c>
      <c r="N129" t="s">
        <v>17</v>
      </c>
      <c r="P129" t="str">
        <f>_xlfn.XLOOKUP(empresas_identificadas_complementadas[[#This Row],[cnpj]],empresas_filtradas[cnpj],empresas_filtradas[email])</f>
        <v>ATENDIMENTO@SAC.WHITEMARTINS.COM.BR</v>
      </c>
      <c r="Q129" t="str">
        <f>_xlfn.XLOOKUP(empresas_identificadas_complementadas[[#This Row],[cnpj]],empresas_filtradas!A:A,empresas_filtradas!M:M)</f>
        <v>Não Planta</v>
      </c>
    </row>
    <row r="130" spans="1:17" x14ac:dyDescent="0.25">
      <c r="A130">
        <v>51403119000146</v>
      </c>
      <c r="B130" t="s">
        <v>2</v>
      </c>
      <c r="C130" t="s">
        <v>739</v>
      </c>
      <c r="D130">
        <v>42816140</v>
      </c>
      <c r="E130" t="s">
        <v>60</v>
      </c>
      <c r="F130">
        <v>3413</v>
      </c>
      <c r="G130" t="s">
        <v>759</v>
      </c>
      <c r="H130" t="s">
        <v>760</v>
      </c>
      <c r="I130">
        <v>3.35</v>
      </c>
      <c r="J130">
        <v>-12.6674855</v>
      </c>
      <c r="K130">
        <v>-38.314885799999999</v>
      </c>
      <c r="L130" t="s">
        <v>742</v>
      </c>
      <c r="M130" t="s">
        <v>761</v>
      </c>
      <c r="N130" t="s">
        <v>60</v>
      </c>
      <c r="P130" t="str">
        <f>_xlfn.XLOOKUP(empresas_identificadas_complementadas[[#This Row],[cnpj]],empresas_filtradas[cnpj],empresas_filtradas[email])</f>
        <v>PEDRO.TEIXEIRA@UNIGEL.COM.BR</v>
      </c>
      <c r="Q130" t="str">
        <f>_xlfn.XLOOKUP(empresas_identificadas_complementadas[[#This Row],[cnpj]],empresas_filtradas!A:A,empresas_filtradas!M:M)</f>
        <v>Conceito de Planta</v>
      </c>
    </row>
    <row r="131" spans="1:17" x14ac:dyDescent="0.25">
      <c r="A131">
        <v>35820448022539</v>
      </c>
      <c r="B131" t="s">
        <v>2</v>
      </c>
      <c r="C131" t="s">
        <v>744</v>
      </c>
      <c r="D131">
        <v>36106000</v>
      </c>
      <c r="E131" t="s">
        <v>17</v>
      </c>
      <c r="F131">
        <v>4733</v>
      </c>
      <c r="G131" t="s">
        <v>828</v>
      </c>
      <c r="H131" t="s">
        <v>749</v>
      </c>
      <c r="I131">
        <v>103.38</v>
      </c>
      <c r="J131">
        <v>-21.708561100000001</v>
      </c>
      <c r="K131">
        <v>-43.619979600000001</v>
      </c>
      <c r="L131" t="s">
        <v>742</v>
      </c>
      <c r="M131" t="s">
        <v>766</v>
      </c>
      <c r="N131" t="s">
        <v>17</v>
      </c>
      <c r="P131" t="str">
        <f>_xlfn.XLOOKUP(empresas_identificadas_complementadas[[#This Row],[cnpj]],empresas_filtradas[cnpj],empresas_filtradas[email])</f>
        <v>ESPECIALISTA_FISCAL_CAMPO@LINDE.COM</v>
      </c>
      <c r="Q131" t="str">
        <f>_xlfn.XLOOKUP(empresas_identificadas_complementadas[[#This Row],[cnpj]],empresas_filtradas!A:A,empresas_filtradas!M:M)</f>
        <v>Não Planta</v>
      </c>
    </row>
    <row r="132" spans="1:17" x14ac:dyDescent="0.25">
      <c r="A132">
        <v>55380948000101</v>
      </c>
      <c r="B132" t="s">
        <v>2</v>
      </c>
      <c r="C132" t="s">
        <v>739</v>
      </c>
      <c r="D132">
        <v>49015250</v>
      </c>
      <c r="E132" t="s">
        <v>133</v>
      </c>
      <c r="F132">
        <v>3105</v>
      </c>
      <c r="G132" t="s">
        <v>781</v>
      </c>
      <c r="H132" t="s">
        <v>782</v>
      </c>
      <c r="I132">
        <v>18.04</v>
      </c>
      <c r="J132">
        <v>-10.920480400000001</v>
      </c>
      <c r="K132">
        <v>-37.052905099999997</v>
      </c>
      <c r="L132" t="s">
        <v>742</v>
      </c>
      <c r="M132" t="s">
        <v>873</v>
      </c>
      <c r="N132" t="s">
        <v>133</v>
      </c>
      <c r="P132" t="str">
        <f>_xlfn.XLOOKUP(empresas_identificadas_complementadas[[#This Row],[cnpj]],empresas_filtradas[cnpj],empresas_filtradas[email])</f>
        <v>INFO@GEP-GLOBAL.COM</v>
      </c>
      <c r="Q132" t="str">
        <f>_xlfn.XLOOKUP(empresas_identificadas_complementadas[[#This Row],[cnpj]],empresas_filtradas!A:A,empresas_filtradas!M:M)</f>
        <v>Conceito de Planta</v>
      </c>
    </row>
    <row r="133" spans="1:17" x14ac:dyDescent="0.25">
      <c r="A133">
        <v>331788001190</v>
      </c>
      <c r="B133" t="s">
        <v>2</v>
      </c>
      <c r="C133" t="s">
        <v>739</v>
      </c>
      <c r="D133">
        <v>9380440</v>
      </c>
      <c r="E133" t="s">
        <v>32</v>
      </c>
      <c r="F133">
        <v>6689</v>
      </c>
      <c r="G133" t="s">
        <v>798</v>
      </c>
      <c r="H133" t="s">
        <v>799</v>
      </c>
      <c r="I133">
        <v>1.1499999999999999</v>
      </c>
      <c r="J133">
        <v>-23.6669527</v>
      </c>
      <c r="K133">
        <v>-46.461692200000002</v>
      </c>
      <c r="L133" t="s">
        <v>742</v>
      </c>
      <c r="M133" t="s">
        <v>843</v>
      </c>
      <c r="N133" t="s">
        <v>32</v>
      </c>
      <c r="O133" t="s">
        <v>755</v>
      </c>
      <c r="P133" t="str">
        <f>_xlfn.XLOOKUP(empresas_identificadas_complementadas[[#This Row],[cnpj]],empresas_filtradas[cnpj],empresas_filtradas[email])</f>
        <v>BRALB-PARALEGAL@AIRLIQUIDE.COM</v>
      </c>
      <c r="Q133" t="str">
        <f>_xlfn.XLOOKUP(empresas_identificadas_complementadas[[#This Row],[cnpj]],empresas_filtradas!A:A,empresas_filtradas!M:M)</f>
        <v>Não Planta</v>
      </c>
    </row>
    <row r="134" spans="1:17" x14ac:dyDescent="0.25">
      <c r="A134">
        <v>5471794000195</v>
      </c>
      <c r="B134" t="s">
        <v>2</v>
      </c>
      <c r="E134" t="s">
        <v>53</v>
      </c>
      <c r="F134">
        <v>9707</v>
      </c>
      <c r="P134" t="str">
        <f>_xlfn.XLOOKUP(empresas_identificadas_complementadas[[#This Row],[cnpj]],empresas_filtradas[cnpj],empresas_filtradas[email])</f>
        <v>IMPNFE@AIRPRODUCTS.COM</v>
      </c>
      <c r="Q134" t="str">
        <f>_xlfn.XLOOKUP(empresas_identificadas_complementadas[[#This Row],[cnpj]],empresas_filtradas!A:A,empresas_filtradas!M:M)</f>
        <v>Não Planta</v>
      </c>
    </row>
    <row r="135" spans="1:17" x14ac:dyDescent="0.25">
      <c r="A135">
        <v>2605266000274</v>
      </c>
      <c r="B135" t="s">
        <v>2</v>
      </c>
      <c r="C135" t="s">
        <v>751</v>
      </c>
      <c r="D135">
        <v>11570000</v>
      </c>
      <c r="E135" t="s">
        <v>32</v>
      </c>
      <c r="F135">
        <v>6371</v>
      </c>
      <c r="G135" t="s">
        <v>775</v>
      </c>
      <c r="H135" t="s">
        <v>776</v>
      </c>
      <c r="I135">
        <v>1.64</v>
      </c>
      <c r="J135">
        <v>-23.884207700000001</v>
      </c>
      <c r="K135">
        <v>-46.421306100000002</v>
      </c>
      <c r="L135" t="s">
        <v>742</v>
      </c>
      <c r="M135" t="s">
        <v>777</v>
      </c>
      <c r="N135" t="s">
        <v>32</v>
      </c>
      <c r="O135" t="s">
        <v>755</v>
      </c>
      <c r="P135" t="str">
        <f>_xlfn.XLOOKUP(empresas_identificadas_complementadas[[#This Row],[cnpj]],empresas_filtradas[cnpj],empresas_filtradas[email])</f>
        <v>TAX.COMPLIANCE@MESSER-BR.COM</v>
      </c>
      <c r="Q135" t="str">
        <f>_xlfn.XLOOKUP(empresas_identificadas_complementadas[[#This Row],[cnpj]],empresas_filtradas!A:A,empresas_filtradas!M:M)</f>
        <v>Potencial Planta</v>
      </c>
    </row>
    <row r="136" spans="1:17" x14ac:dyDescent="0.25">
      <c r="A136">
        <v>5665483000167</v>
      </c>
      <c r="B136" t="s">
        <v>2</v>
      </c>
      <c r="E136" t="s">
        <v>53</v>
      </c>
      <c r="F136">
        <v>9707</v>
      </c>
      <c r="P136" t="s">
        <v>957</v>
      </c>
      <c r="Q136" t="str">
        <f>_xlfn.XLOOKUP(empresas_identificadas_complementadas[[#This Row],[cnpj]],empresas_filtradas!A:A,empresas_filtradas!M:M)</f>
        <v>Não Planta</v>
      </c>
    </row>
    <row r="137" spans="1:17" x14ac:dyDescent="0.25">
      <c r="A137">
        <v>5679553000136</v>
      </c>
      <c r="B137" t="s">
        <v>2</v>
      </c>
      <c r="E137" t="s">
        <v>53</v>
      </c>
      <c r="F137">
        <v>9707</v>
      </c>
      <c r="P137" t="s">
        <v>957</v>
      </c>
      <c r="Q137" t="str">
        <f>_xlfn.XLOOKUP(empresas_identificadas_complementadas[[#This Row],[cnpj]],empresas_filtradas!A:A,empresas_filtradas!M:M)</f>
        <v>Não Planta</v>
      </c>
    </row>
    <row r="138" spans="1:17" x14ac:dyDescent="0.25">
      <c r="A138">
        <v>24380578002041</v>
      </c>
      <c r="B138" t="s">
        <v>2</v>
      </c>
      <c r="C138" t="s">
        <v>751</v>
      </c>
      <c r="D138">
        <v>54335000</v>
      </c>
      <c r="E138" t="s">
        <v>92</v>
      </c>
      <c r="F138">
        <v>2457</v>
      </c>
      <c r="G138" t="s">
        <v>796</v>
      </c>
      <c r="H138" t="s">
        <v>768</v>
      </c>
      <c r="I138">
        <v>25.05</v>
      </c>
      <c r="J138">
        <v>-8.1735121999999993</v>
      </c>
      <c r="K138">
        <v>-34.941300400000003</v>
      </c>
      <c r="L138" t="s">
        <v>742</v>
      </c>
      <c r="M138" t="s">
        <v>847</v>
      </c>
      <c r="N138" t="s">
        <v>92</v>
      </c>
      <c r="P138" t="str">
        <f>_xlfn.XLOOKUP(empresas_identificadas_complementadas[[#This Row],[cnpj]],empresas_filtradas[cnpj],empresas_filtradas[email])</f>
        <v>ATENDIMENTO@SAC.WHITEMARTINS.COM.BR</v>
      </c>
      <c r="Q138" t="str">
        <f>_xlfn.XLOOKUP(empresas_identificadas_complementadas[[#This Row],[cnpj]],empresas_filtradas!A:A,empresas_filtradas!M:M)</f>
        <v>Potencial Planta</v>
      </c>
    </row>
    <row r="139" spans="1:17" x14ac:dyDescent="0.25">
      <c r="A139">
        <v>35820448016210</v>
      </c>
      <c r="B139" t="s">
        <v>2</v>
      </c>
      <c r="C139" t="s">
        <v>744</v>
      </c>
      <c r="D139">
        <v>75340000</v>
      </c>
      <c r="E139" t="s">
        <v>173</v>
      </c>
      <c r="F139">
        <v>9389</v>
      </c>
      <c r="G139" t="s">
        <v>745</v>
      </c>
      <c r="H139" t="s">
        <v>746</v>
      </c>
      <c r="I139">
        <v>337.72</v>
      </c>
      <c r="J139">
        <v>-16.9671342</v>
      </c>
      <c r="K139">
        <v>-49.228259999999999</v>
      </c>
      <c r="L139" t="s">
        <v>742</v>
      </c>
      <c r="M139" t="s">
        <v>874</v>
      </c>
      <c r="N139" t="s">
        <v>173</v>
      </c>
      <c r="P139" t="str">
        <f>_xlfn.XLOOKUP(empresas_identificadas_complementadas[[#This Row],[cnpj]],empresas_filtradas[cnpj],empresas_filtradas[email])</f>
        <v>ATENDIMENTO@SAC.WHITEMARTINS.COM.BR</v>
      </c>
      <c r="Q139" t="str">
        <f>_xlfn.XLOOKUP(empresas_identificadas_complementadas[[#This Row],[cnpj]],empresas_filtradas!A:A,empresas_filtradas!M:M)</f>
        <v>Não Planta</v>
      </c>
    </row>
    <row r="140" spans="1:17" x14ac:dyDescent="0.25">
      <c r="A140">
        <v>43843358000512</v>
      </c>
      <c r="B140" t="s">
        <v>2</v>
      </c>
      <c r="C140" t="s">
        <v>751</v>
      </c>
      <c r="D140">
        <v>25251745</v>
      </c>
      <c r="E140" t="s">
        <v>27</v>
      </c>
      <c r="F140">
        <v>5833</v>
      </c>
      <c r="G140" t="s">
        <v>765</v>
      </c>
      <c r="H140" t="s">
        <v>753</v>
      </c>
      <c r="I140">
        <v>12.34</v>
      </c>
      <c r="J140">
        <v>-22.609636800000001</v>
      </c>
      <c r="K140">
        <v>-43.285963000000002</v>
      </c>
      <c r="L140" t="s">
        <v>742</v>
      </c>
      <c r="M140" t="s">
        <v>875</v>
      </c>
      <c r="N140" t="s">
        <v>27</v>
      </c>
      <c r="P140" t="str">
        <f>_xlfn.XLOOKUP(empresas_identificadas_complementadas[[#This Row],[cnpj]],empresas_filtradas[cnpj],empresas_filtradas[email])</f>
        <v>IMPNFE@AIRPRODUCTS.COM</v>
      </c>
      <c r="Q140" t="str">
        <f>_xlfn.XLOOKUP(empresas_identificadas_complementadas[[#This Row],[cnpj]],empresas_filtradas!A:A,empresas_filtradas!M:M)</f>
        <v>Potencial Planta</v>
      </c>
    </row>
    <row r="141" spans="1:17" x14ac:dyDescent="0.25">
      <c r="A141">
        <v>43843358001594</v>
      </c>
      <c r="B141" t="s">
        <v>2</v>
      </c>
      <c r="C141" t="s">
        <v>751</v>
      </c>
      <c r="D141">
        <v>13847176</v>
      </c>
      <c r="E141" t="s">
        <v>32</v>
      </c>
      <c r="F141">
        <v>6715</v>
      </c>
      <c r="G141" t="s">
        <v>752</v>
      </c>
      <c r="H141" t="s">
        <v>753</v>
      </c>
      <c r="I141">
        <v>46.72</v>
      </c>
      <c r="J141">
        <v>-22.347079000000001</v>
      </c>
      <c r="K141">
        <v>-46.946135200000001</v>
      </c>
      <c r="L141" t="s">
        <v>742</v>
      </c>
      <c r="M141" t="s">
        <v>876</v>
      </c>
      <c r="N141" t="s">
        <v>32</v>
      </c>
      <c r="P141" t="str">
        <f>_xlfn.XLOOKUP(empresas_identificadas_complementadas[[#This Row],[cnpj]],empresas_filtradas[cnpj],empresas_filtradas[email])</f>
        <v>IMPNFE@AIRPRODUCTS.COM</v>
      </c>
      <c r="Q141" t="str">
        <f>_xlfn.XLOOKUP(empresas_identificadas_complementadas[[#This Row],[cnpj]],empresas_filtradas!A:A,empresas_filtradas!M:M)</f>
        <v>Potencial Planta</v>
      </c>
    </row>
    <row r="142" spans="1:17" x14ac:dyDescent="0.25">
      <c r="A142">
        <v>43843358002302</v>
      </c>
      <c r="B142" t="s">
        <v>2</v>
      </c>
      <c r="C142" t="s">
        <v>751</v>
      </c>
      <c r="D142">
        <v>9154100</v>
      </c>
      <c r="E142" t="s">
        <v>32</v>
      </c>
      <c r="F142">
        <v>7057</v>
      </c>
      <c r="G142" t="s">
        <v>798</v>
      </c>
      <c r="H142" t="s">
        <v>799</v>
      </c>
      <c r="I142">
        <v>5.94</v>
      </c>
      <c r="J142">
        <v>-23.6533509</v>
      </c>
      <c r="K142">
        <v>-46.527903899999998</v>
      </c>
      <c r="L142" t="s">
        <v>742</v>
      </c>
      <c r="M142" t="s">
        <v>809</v>
      </c>
      <c r="N142" t="s">
        <v>32</v>
      </c>
      <c r="O142" t="s">
        <v>755</v>
      </c>
      <c r="P142" t="str">
        <f>_xlfn.XLOOKUP(empresas_identificadas_complementadas[[#This Row],[cnpj]],empresas_filtradas[cnpj],empresas_filtradas[email])</f>
        <v>IMPNFE@AIRPRODUCTS.COM</v>
      </c>
      <c r="Q142" t="str">
        <f>_xlfn.XLOOKUP(empresas_identificadas_complementadas[[#This Row],[cnpj]],empresas_filtradas!A:A,empresas_filtradas!M:M)</f>
        <v>Potencial Planta</v>
      </c>
    </row>
    <row r="143" spans="1:17" x14ac:dyDescent="0.25">
      <c r="A143">
        <v>74481011000177</v>
      </c>
      <c r="B143" t="s">
        <v>2</v>
      </c>
      <c r="C143" t="s">
        <v>744</v>
      </c>
      <c r="D143">
        <v>13690000</v>
      </c>
      <c r="E143" t="s">
        <v>32</v>
      </c>
      <c r="F143">
        <v>6375</v>
      </c>
      <c r="G143" t="s">
        <v>752</v>
      </c>
      <c r="H143" t="s">
        <v>753</v>
      </c>
      <c r="I143">
        <v>103.7</v>
      </c>
      <c r="J143">
        <v>-21.909040399999999</v>
      </c>
      <c r="K143">
        <v>-47.620324099999998</v>
      </c>
      <c r="L143" t="s">
        <v>742</v>
      </c>
      <c r="M143" t="s">
        <v>877</v>
      </c>
      <c r="N143" t="s">
        <v>32</v>
      </c>
      <c r="P143" t="str">
        <f>_xlfn.XLOOKUP(empresas_identificadas_complementadas[[#This Row],[cnpj]],empresas_filtradas[cnpj],empresas_filtradas[email])</f>
        <v>IBG@IBG.COM.BR</v>
      </c>
      <c r="Q143" t="str">
        <f>_xlfn.XLOOKUP(empresas_identificadas_complementadas[[#This Row],[cnpj]],empresas_filtradas!A:A,empresas_filtradas!M:M)</f>
        <v>Relação</v>
      </c>
    </row>
    <row r="144" spans="1:17" x14ac:dyDescent="0.25">
      <c r="A144">
        <v>60619202001705</v>
      </c>
      <c r="B144" t="s">
        <v>2</v>
      </c>
      <c r="C144" t="s">
        <v>744</v>
      </c>
      <c r="D144">
        <v>36092030</v>
      </c>
      <c r="E144" t="s">
        <v>17</v>
      </c>
      <c r="F144">
        <v>4733</v>
      </c>
      <c r="G144" t="s">
        <v>765</v>
      </c>
      <c r="H144" t="s">
        <v>753</v>
      </c>
      <c r="I144">
        <v>106.93</v>
      </c>
      <c r="J144">
        <v>-21.760953300000001</v>
      </c>
      <c r="K144">
        <v>-43.350112899999999</v>
      </c>
      <c r="L144" t="s">
        <v>742</v>
      </c>
      <c r="M144" t="s">
        <v>766</v>
      </c>
      <c r="N144" t="s">
        <v>17</v>
      </c>
      <c r="O144" t="s">
        <v>755</v>
      </c>
      <c r="P144" t="str">
        <f>_xlfn.XLOOKUP(empresas_identificadas_complementadas[[#This Row],[cnpj]],empresas_filtradas[cnpj],empresas_filtradas[email])</f>
        <v>TAX.COMPLIANCE@MESSER-BR.COM</v>
      </c>
      <c r="Q144" t="str">
        <f>_xlfn.XLOOKUP(empresas_identificadas_complementadas[[#This Row],[cnpj]],empresas_filtradas!A:A,empresas_filtradas!M:M)</f>
        <v>Não Planta</v>
      </c>
    </row>
    <row r="145" spans="1:17" x14ac:dyDescent="0.25">
      <c r="A145">
        <v>35820448014196</v>
      </c>
      <c r="B145" t="s">
        <v>2</v>
      </c>
      <c r="C145" t="s">
        <v>751</v>
      </c>
      <c r="D145">
        <v>11570900</v>
      </c>
      <c r="E145" t="s">
        <v>32</v>
      </c>
      <c r="F145">
        <v>6371</v>
      </c>
      <c r="G145" t="s">
        <v>775</v>
      </c>
      <c r="H145" t="s">
        <v>776</v>
      </c>
      <c r="I145">
        <v>2.68</v>
      </c>
      <c r="J145">
        <v>-23.895</v>
      </c>
      <c r="K145">
        <v>-46.425280000000001</v>
      </c>
      <c r="L145" t="s">
        <v>864</v>
      </c>
      <c r="M145" t="s">
        <v>777</v>
      </c>
      <c r="N145" t="s">
        <v>32</v>
      </c>
      <c r="P145" t="str">
        <f>_xlfn.XLOOKUP(empresas_identificadas_complementadas[[#This Row],[cnpj]],empresas_filtradas[cnpj],empresas_filtradas[email])</f>
        <v>ATENDIMENTO@SAC.WHITEMARTINS.COM.BR</v>
      </c>
      <c r="Q145" t="str">
        <f>_xlfn.XLOOKUP(empresas_identificadas_complementadas[[#This Row],[cnpj]],empresas_filtradas!A:A,empresas_filtradas!M:M)</f>
        <v>Não Planta</v>
      </c>
    </row>
    <row r="146" spans="1:17" x14ac:dyDescent="0.25">
      <c r="A146">
        <v>24380578002980</v>
      </c>
      <c r="B146" t="s">
        <v>2</v>
      </c>
      <c r="C146" t="s">
        <v>751</v>
      </c>
      <c r="D146">
        <v>42816120</v>
      </c>
      <c r="E146" t="s">
        <v>60</v>
      </c>
      <c r="F146">
        <v>3413</v>
      </c>
      <c r="G146" t="s">
        <v>759</v>
      </c>
      <c r="H146" t="s">
        <v>760</v>
      </c>
      <c r="I146">
        <v>4.5599999999999996</v>
      </c>
      <c r="J146">
        <v>-12.6554921</v>
      </c>
      <c r="K146">
        <v>-38.326871099999998</v>
      </c>
      <c r="L146" t="s">
        <v>742</v>
      </c>
      <c r="M146" t="s">
        <v>761</v>
      </c>
      <c r="N146" t="s">
        <v>60</v>
      </c>
      <c r="P146" t="str">
        <f>_xlfn.XLOOKUP(empresas_identificadas_complementadas[[#This Row],[cnpj]],empresas_filtradas[cnpj],empresas_filtradas[email])</f>
        <v>ATENDIMENTO@SAC.WHITEMARTINS.COM.BR</v>
      </c>
      <c r="Q146" t="str">
        <f>_xlfn.XLOOKUP(empresas_identificadas_complementadas[[#This Row],[cnpj]],empresas_filtradas!A:A,empresas_filtradas!M:M)</f>
        <v>Potencial Planta</v>
      </c>
    </row>
    <row r="147" spans="1:17" x14ac:dyDescent="0.25">
      <c r="A147">
        <v>60619202000229</v>
      </c>
      <c r="B147" t="s">
        <v>2</v>
      </c>
      <c r="C147" t="s">
        <v>751</v>
      </c>
      <c r="D147">
        <v>4247002</v>
      </c>
      <c r="E147" t="s">
        <v>32</v>
      </c>
      <c r="F147">
        <v>7107</v>
      </c>
      <c r="G147" t="s">
        <v>798</v>
      </c>
      <c r="H147" t="s">
        <v>799</v>
      </c>
      <c r="I147">
        <v>14.23</v>
      </c>
      <c r="J147">
        <v>-23.617502200000001</v>
      </c>
      <c r="K147">
        <v>-46.601790600000001</v>
      </c>
      <c r="L147" t="s">
        <v>742</v>
      </c>
      <c r="M147" t="s">
        <v>841</v>
      </c>
      <c r="N147" t="s">
        <v>32</v>
      </c>
      <c r="P147" t="str">
        <f>_xlfn.XLOOKUP(empresas_identificadas_complementadas[[#This Row],[cnpj]],empresas_filtradas[cnpj],empresas_filtradas[email])</f>
        <v>TAX.COMPLIANCE@MESSER-BR.COM</v>
      </c>
      <c r="Q147" t="str">
        <f>_xlfn.XLOOKUP(empresas_identificadas_complementadas[[#This Row],[cnpj]],empresas_filtradas!A:A,empresas_filtradas!M:M)</f>
        <v>Potencial Planta</v>
      </c>
    </row>
    <row r="148" spans="1:17" x14ac:dyDescent="0.25">
      <c r="A148">
        <v>60619202002949</v>
      </c>
      <c r="B148" t="s">
        <v>2</v>
      </c>
      <c r="C148" t="s">
        <v>751</v>
      </c>
      <c r="D148">
        <v>27525598</v>
      </c>
      <c r="E148" t="s">
        <v>27</v>
      </c>
      <c r="F148">
        <v>5883</v>
      </c>
      <c r="G148" t="s">
        <v>828</v>
      </c>
      <c r="H148" t="s">
        <v>749</v>
      </c>
      <c r="I148">
        <v>35.69</v>
      </c>
      <c r="J148">
        <v>-22.468362599999999</v>
      </c>
      <c r="K148">
        <v>-44.446349400000003</v>
      </c>
      <c r="L148" t="s">
        <v>742</v>
      </c>
      <c r="M148" t="s">
        <v>878</v>
      </c>
      <c r="N148" t="s">
        <v>27</v>
      </c>
      <c r="O148" t="s">
        <v>755</v>
      </c>
      <c r="P148" t="str">
        <f>_xlfn.XLOOKUP(empresas_identificadas_complementadas[[#This Row],[cnpj]],empresas_filtradas[cnpj],empresas_filtradas[email])</f>
        <v>TAX.COMPLIANCE@MESSER-BR.COM</v>
      </c>
      <c r="Q148" t="str">
        <f>_xlfn.XLOOKUP(empresas_identificadas_complementadas[[#This Row],[cnpj]],empresas_filtradas!A:A,empresas_filtradas!M:M)</f>
        <v>Potencial Planta</v>
      </c>
    </row>
    <row r="149" spans="1:17" x14ac:dyDescent="0.25">
      <c r="A149">
        <v>60619202006693</v>
      </c>
      <c r="B149" t="s">
        <v>2</v>
      </c>
      <c r="C149" t="s">
        <v>751</v>
      </c>
      <c r="D149">
        <v>81460120</v>
      </c>
      <c r="E149" t="s">
        <v>45</v>
      </c>
      <c r="F149">
        <v>7535</v>
      </c>
      <c r="G149" t="s">
        <v>801</v>
      </c>
      <c r="H149" t="s">
        <v>802</v>
      </c>
      <c r="I149">
        <v>22.09</v>
      </c>
      <c r="J149">
        <v>-25.4295963</v>
      </c>
      <c r="K149">
        <v>-49.271272400000001</v>
      </c>
      <c r="L149" t="s">
        <v>742</v>
      </c>
      <c r="M149" t="s">
        <v>803</v>
      </c>
      <c r="N149" t="s">
        <v>45</v>
      </c>
      <c r="O149" t="s">
        <v>755</v>
      </c>
      <c r="P149" t="str">
        <f>_xlfn.XLOOKUP(empresas_identificadas_complementadas[[#This Row],[cnpj]],empresas_filtradas[cnpj],empresas_filtradas[email])</f>
        <v>TAX.COMPLIANCE@MESSER-BR.COM</v>
      </c>
      <c r="Q149" t="str">
        <f>_xlfn.XLOOKUP(empresas_identificadas_complementadas[[#This Row],[cnpj]],empresas_filtradas!A:A,empresas_filtradas!M:M)</f>
        <v>Potencial Planta</v>
      </c>
    </row>
    <row r="150" spans="1:17" x14ac:dyDescent="0.25">
      <c r="A150">
        <v>35820448020838</v>
      </c>
      <c r="B150" t="s">
        <v>2</v>
      </c>
      <c r="C150" t="s">
        <v>751</v>
      </c>
      <c r="D150">
        <v>13412010</v>
      </c>
      <c r="E150" t="s">
        <v>32</v>
      </c>
      <c r="F150">
        <v>6875</v>
      </c>
      <c r="G150" t="s">
        <v>752</v>
      </c>
      <c r="H150" t="s">
        <v>753</v>
      </c>
      <c r="I150">
        <v>52.63</v>
      </c>
      <c r="J150">
        <v>-22.693165700000002</v>
      </c>
      <c r="K150">
        <v>-47.6496827</v>
      </c>
      <c r="L150" t="s">
        <v>742</v>
      </c>
      <c r="M150" t="s">
        <v>791</v>
      </c>
      <c r="N150" t="s">
        <v>32</v>
      </c>
      <c r="P150" t="str">
        <f>_xlfn.XLOOKUP(empresas_identificadas_complementadas[[#This Row],[cnpj]],empresas_filtradas[cnpj],empresas_filtradas[email])</f>
        <v>ATENDIMENTO@SAC.WHITEMARTINS.COM.BR</v>
      </c>
      <c r="Q150" t="str">
        <f>_xlfn.XLOOKUP(empresas_identificadas_complementadas[[#This Row],[cnpj]],empresas_filtradas!A:A,empresas_filtradas!M:M)</f>
        <v>Potencial Planta</v>
      </c>
    </row>
    <row r="151" spans="1:17" x14ac:dyDescent="0.25">
      <c r="A151">
        <v>35820448020919</v>
      </c>
      <c r="B151" t="s">
        <v>2</v>
      </c>
      <c r="C151" t="s">
        <v>739</v>
      </c>
      <c r="D151">
        <v>93212110</v>
      </c>
      <c r="E151" t="s">
        <v>117</v>
      </c>
      <c r="F151">
        <v>8901</v>
      </c>
      <c r="G151" t="s">
        <v>804</v>
      </c>
      <c r="H151" t="s">
        <v>802</v>
      </c>
      <c r="I151">
        <v>11.64</v>
      </c>
      <c r="J151">
        <v>-29.807903400000001</v>
      </c>
      <c r="K151">
        <v>-51.170554799999998</v>
      </c>
      <c r="L151" t="s">
        <v>742</v>
      </c>
      <c r="M151" t="s">
        <v>829</v>
      </c>
      <c r="N151" t="s">
        <v>117</v>
      </c>
      <c r="P151" t="str">
        <f>_xlfn.XLOOKUP(empresas_identificadas_complementadas[[#This Row],[cnpj]],empresas_filtradas[cnpj],empresas_filtradas[email])</f>
        <v>ATENDIMENTO@SAC.WHITEMARTINS.COM.BR</v>
      </c>
      <c r="Q151" t="str">
        <f>_xlfn.XLOOKUP(empresas_identificadas_complementadas[[#This Row],[cnpj]],empresas_filtradas!A:A,empresas_filtradas!M:M)</f>
        <v>Não Planta</v>
      </c>
    </row>
    <row r="152" spans="1:17" x14ac:dyDescent="0.25">
      <c r="A152">
        <v>35820448022881</v>
      </c>
      <c r="B152" t="s">
        <v>2</v>
      </c>
      <c r="D152">
        <v>79586899</v>
      </c>
      <c r="E152" t="s">
        <v>62</v>
      </c>
      <c r="F152">
        <v>9087</v>
      </c>
      <c r="G152" t="s">
        <v>745</v>
      </c>
      <c r="H152" t="s">
        <v>746</v>
      </c>
      <c r="I152">
        <v>417.78</v>
      </c>
      <c r="J152">
        <v>-19.731075100000002</v>
      </c>
      <c r="K152">
        <v>-51.930750199999999</v>
      </c>
      <c r="L152" t="s">
        <v>742</v>
      </c>
      <c r="M152" t="s">
        <v>879</v>
      </c>
      <c r="N152" t="s">
        <v>62</v>
      </c>
      <c r="O152" t="s">
        <v>755</v>
      </c>
      <c r="P152" t="str">
        <f>_xlfn.XLOOKUP(empresas_identificadas_complementadas[[#This Row],[cnpj]],empresas_filtradas[cnpj],empresas_filtradas[email])</f>
        <v>ATENDIMENTO@SAC.WHITEMARTINS.COM.BR</v>
      </c>
      <c r="Q152" t="str">
        <f>_xlfn.XLOOKUP(empresas_identificadas_complementadas[[#This Row],[cnpj]],empresas_filtradas!A:A,empresas_filtradas!M:M)</f>
        <v>Não Planta</v>
      </c>
    </row>
    <row r="153" spans="1:17" x14ac:dyDescent="0.25">
      <c r="A153">
        <v>331788004106</v>
      </c>
      <c r="B153" t="s">
        <v>2</v>
      </c>
      <c r="C153" t="s">
        <v>744</v>
      </c>
      <c r="D153">
        <v>87055406</v>
      </c>
      <c r="E153" t="s">
        <v>45</v>
      </c>
      <c r="F153">
        <v>7691</v>
      </c>
      <c r="G153" t="s">
        <v>801</v>
      </c>
      <c r="H153" t="s">
        <v>802</v>
      </c>
      <c r="I153">
        <v>346.93</v>
      </c>
      <c r="J153">
        <v>-23.440423899999999</v>
      </c>
      <c r="K153">
        <v>-51.893337299999999</v>
      </c>
      <c r="L153" t="s">
        <v>742</v>
      </c>
      <c r="M153" t="s">
        <v>880</v>
      </c>
      <c r="N153" t="s">
        <v>45</v>
      </c>
      <c r="P153" t="str">
        <f>_xlfn.XLOOKUP(empresas_identificadas_complementadas[[#This Row],[cnpj]],empresas_filtradas[cnpj],empresas_filtradas[email])</f>
        <v>BRALB-PARALEGAL@AIRLIQUIDE.COM</v>
      </c>
      <c r="Q153" t="str">
        <f>_xlfn.XLOOKUP(empresas_identificadas_complementadas[[#This Row],[cnpj]],empresas_filtradas!A:A,empresas_filtradas!M:M)</f>
        <v>Não Planta</v>
      </c>
    </row>
    <row r="154" spans="1:17" x14ac:dyDescent="0.25">
      <c r="A154">
        <v>331788002081</v>
      </c>
      <c r="B154" t="s">
        <v>2</v>
      </c>
      <c r="C154" t="s">
        <v>751</v>
      </c>
      <c r="D154">
        <v>43813000</v>
      </c>
      <c r="E154" t="s">
        <v>60</v>
      </c>
      <c r="F154">
        <v>3429</v>
      </c>
      <c r="G154" t="s">
        <v>862</v>
      </c>
      <c r="H154" t="s">
        <v>753</v>
      </c>
      <c r="I154">
        <v>4.8499999999999996</v>
      </c>
      <c r="J154">
        <v>-12.6693806</v>
      </c>
      <c r="K154">
        <v>-38.540646199999998</v>
      </c>
      <c r="L154" t="s">
        <v>742</v>
      </c>
      <c r="M154" t="s">
        <v>881</v>
      </c>
      <c r="N154" t="s">
        <v>60</v>
      </c>
      <c r="O154" t="s">
        <v>755</v>
      </c>
      <c r="P154" t="str">
        <f>_xlfn.XLOOKUP(empresas_identificadas_complementadas[[#This Row],[cnpj]],empresas_filtradas[cnpj],empresas_filtradas[email])</f>
        <v>BRALB-PARALEGAL@AIRLIQUIDE.COM</v>
      </c>
      <c r="Q154" t="str">
        <f>_xlfn.XLOOKUP(empresas_identificadas_complementadas[[#This Row],[cnpj]],empresas_filtradas!A:A,empresas_filtradas!M:M)</f>
        <v>Potencial Planta</v>
      </c>
    </row>
    <row r="155" spans="1:17" x14ac:dyDescent="0.25">
      <c r="A155">
        <v>5470672000184</v>
      </c>
      <c r="B155" t="s">
        <v>2</v>
      </c>
      <c r="E155" t="s">
        <v>53</v>
      </c>
      <c r="F155">
        <v>9707</v>
      </c>
      <c r="P155" t="str">
        <f>_xlfn.XLOOKUP(empresas_identificadas_complementadas[[#This Row],[cnpj]],empresas_filtradas[cnpj],empresas_filtradas[email])</f>
        <v>IMPNFE@AIRPRODUCTS.COM</v>
      </c>
      <c r="Q155" t="str">
        <f>_xlfn.XLOOKUP(empresas_identificadas_complementadas[[#This Row],[cnpj]],empresas_filtradas!A:A,empresas_filtradas!M:M)</f>
        <v>Não Planta</v>
      </c>
    </row>
    <row r="156" spans="1:17" x14ac:dyDescent="0.25">
      <c r="A156">
        <v>24380578004680</v>
      </c>
      <c r="B156" t="s">
        <v>2</v>
      </c>
      <c r="C156" t="s">
        <v>739</v>
      </c>
      <c r="D156">
        <v>61910000</v>
      </c>
      <c r="E156" t="s">
        <v>108</v>
      </c>
      <c r="F156">
        <v>1585</v>
      </c>
      <c r="G156" t="s">
        <v>767</v>
      </c>
      <c r="H156" t="s">
        <v>768</v>
      </c>
      <c r="I156">
        <v>39.630000000000003</v>
      </c>
      <c r="J156">
        <v>-3.8605124000000002</v>
      </c>
      <c r="K156">
        <v>-38.636353300000003</v>
      </c>
      <c r="L156" t="s">
        <v>742</v>
      </c>
      <c r="M156" t="s">
        <v>872</v>
      </c>
      <c r="N156" t="s">
        <v>108</v>
      </c>
      <c r="P156" t="str">
        <f>_xlfn.XLOOKUP(empresas_identificadas_complementadas[[#This Row],[cnpj]],empresas_filtradas[cnpj],empresas_filtradas[email])</f>
        <v>ATENDIMENTO@SAC.WHITEMARTINS.COM.BR</v>
      </c>
      <c r="Q156" t="str">
        <f>_xlfn.XLOOKUP(empresas_identificadas_complementadas[[#This Row],[cnpj]],empresas_filtradas!A:A,empresas_filtradas!M:M)</f>
        <v>Não Planta</v>
      </c>
    </row>
    <row r="157" spans="1:17" x14ac:dyDescent="0.25">
      <c r="A157">
        <v>35820448001299</v>
      </c>
      <c r="B157" t="s">
        <v>2</v>
      </c>
      <c r="C157" t="s">
        <v>751</v>
      </c>
      <c r="D157">
        <v>27933440</v>
      </c>
      <c r="E157" t="s">
        <v>27</v>
      </c>
      <c r="F157">
        <v>5847</v>
      </c>
      <c r="G157" t="s">
        <v>816</v>
      </c>
      <c r="H157" t="s">
        <v>817</v>
      </c>
      <c r="I157">
        <v>23.25</v>
      </c>
      <c r="J157">
        <v>-22.282830499999999</v>
      </c>
      <c r="K157">
        <v>-41.9649091</v>
      </c>
      <c r="L157" t="s">
        <v>742</v>
      </c>
      <c r="M157" t="s">
        <v>818</v>
      </c>
      <c r="N157" t="s">
        <v>27</v>
      </c>
      <c r="O157" t="s">
        <v>755</v>
      </c>
      <c r="P157" t="str">
        <f>_xlfn.XLOOKUP(empresas_identificadas_complementadas[[#This Row],[cnpj]],empresas_filtradas[cnpj],empresas_filtradas[email])</f>
        <v>ATENDIMENTO@SAC.WHITEMARTINS.COM.BR</v>
      </c>
      <c r="Q157" t="str">
        <f>_xlfn.XLOOKUP(empresas_identificadas_complementadas[[#This Row],[cnpj]],empresas_filtradas!A:A,empresas_filtradas!M:M)</f>
        <v>Potencial Planta</v>
      </c>
    </row>
    <row r="158" spans="1:17" x14ac:dyDescent="0.25">
      <c r="A158">
        <v>35820448003666</v>
      </c>
      <c r="B158" t="s">
        <v>2</v>
      </c>
      <c r="C158" t="s">
        <v>751</v>
      </c>
      <c r="D158">
        <v>35160291</v>
      </c>
      <c r="E158" t="s">
        <v>17</v>
      </c>
      <c r="F158">
        <v>4625</v>
      </c>
      <c r="G158" t="s">
        <v>820</v>
      </c>
      <c r="H158" t="s">
        <v>749</v>
      </c>
      <c r="I158">
        <v>3.66</v>
      </c>
      <c r="J158">
        <v>-19.490295799999998</v>
      </c>
      <c r="K158">
        <v>-42.561728799999997</v>
      </c>
      <c r="L158" t="s">
        <v>742</v>
      </c>
      <c r="M158" t="s">
        <v>821</v>
      </c>
      <c r="N158" t="s">
        <v>17</v>
      </c>
      <c r="P158" t="str">
        <f>_xlfn.XLOOKUP(empresas_identificadas_complementadas[[#This Row],[cnpj]],empresas_filtradas[cnpj],empresas_filtradas[email])</f>
        <v>ATENDIMENTO@SAC.WHITEMARTINS.COM.BR</v>
      </c>
      <c r="Q158" t="str">
        <f>_xlfn.XLOOKUP(empresas_identificadas_complementadas[[#This Row],[cnpj]],empresas_filtradas!A:A,empresas_filtradas!M:M)</f>
        <v>Potencial Planta</v>
      </c>
    </row>
    <row r="159" spans="1:17" x14ac:dyDescent="0.25">
      <c r="A159">
        <v>35820448008110</v>
      </c>
      <c r="B159" t="s">
        <v>2</v>
      </c>
      <c r="C159" t="s">
        <v>751</v>
      </c>
      <c r="D159">
        <v>9961350</v>
      </c>
      <c r="E159" t="s">
        <v>32</v>
      </c>
      <c r="F159">
        <v>6377</v>
      </c>
      <c r="G159" t="s">
        <v>798</v>
      </c>
      <c r="H159" t="s">
        <v>799</v>
      </c>
      <c r="I159">
        <v>13.12</v>
      </c>
      <c r="J159">
        <v>-23.701077099999999</v>
      </c>
      <c r="K159">
        <v>-46.590733499999999</v>
      </c>
      <c r="L159" t="s">
        <v>742</v>
      </c>
      <c r="M159" t="s">
        <v>882</v>
      </c>
      <c r="N159" t="s">
        <v>32</v>
      </c>
      <c r="P159" t="str">
        <f>_xlfn.XLOOKUP(empresas_identificadas_complementadas[[#This Row],[cnpj]],empresas_filtradas[cnpj],empresas_filtradas[email])</f>
        <v>ATENDIMENTO@SAC.WHITEMARTINS.COM.BR</v>
      </c>
      <c r="Q159" t="str">
        <f>_xlfn.XLOOKUP(empresas_identificadas_complementadas[[#This Row],[cnpj]],empresas_filtradas!A:A,empresas_filtradas!M:M)</f>
        <v>Potencial Planta</v>
      </c>
    </row>
    <row r="160" spans="1:17" x14ac:dyDescent="0.25">
      <c r="A160">
        <v>60619202001110</v>
      </c>
      <c r="B160" t="s">
        <v>2</v>
      </c>
      <c r="C160" t="s">
        <v>739</v>
      </c>
      <c r="D160">
        <v>21040360</v>
      </c>
      <c r="E160" t="s">
        <v>27</v>
      </c>
      <c r="F160">
        <v>6001</v>
      </c>
      <c r="G160" t="s">
        <v>765</v>
      </c>
      <c r="H160" t="s">
        <v>753</v>
      </c>
      <c r="I160">
        <v>16.940000000000001</v>
      </c>
      <c r="J160">
        <v>-22.870402800000001</v>
      </c>
      <c r="K160">
        <v>-43.246890700000002</v>
      </c>
      <c r="L160" t="s">
        <v>742</v>
      </c>
      <c r="M160" t="s">
        <v>750</v>
      </c>
      <c r="N160" t="s">
        <v>27</v>
      </c>
      <c r="P160" t="str">
        <f>_xlfn.XLOOKUP(empresas_identificadas_complementadas[[#This Row],[cnpj]],empresas_filtradas[cnpj],empresas_filtradas[email])</f>
        <v>TAX.COMPLIANCE@MESSER-BR.COM</v>
      </c>
      <c r="Q160" t="str">
        <f>_xlfn.XLOOKUP(empresas_identificadas_complementadas[[#This Row],[cnpj]],empresas_filtradas!A:A,empresas_filtradas!M:M)</f>
        <v>Não Planta</v>
      </c>
    </row>
    <row r="161" spans="1:17" x14ac:dyDescent="0.25">
      <c r="A161">
        <v>60619202003325</v>
      </c>
      <c r="B161" t="s">
        <v>2</v>
      </c>
      <c r="C161" t="s">
        <v>751</v>
      </c>
      <c r="D161">
        <v>29168066</v>
      </c>
      <c r="E161" t="s">
        <v>49</v>
      </c>
      <c r="F161">
        <v>5699</v>
      </c>
      <c r="G161" t="s">
        <v>778</v>
      </c>
      <c r="H161" t="s">
        <v>779</v>
      </c>
      <c r="I161">
        <v>6.57</v>
      </c>
      <c r="J161">
        <v>-20.194903499999999</v>
      </c>
      <c r="K161">
        <v>-40.248691600000001</v>
      </c>
      <c r="L161" t="s">
        <v>742</v>
      </c>
      <c r="M161" t="s">
        <v>844</v>
      </c>
      <c r="N161" t="s">
        <v>49</v>
      </c>
      <c r="P161" t="str">
        <f>_xlfn.XLOOKUP(empresas_identificadas_complementadas[[#This Row],[cnpj]],empresas_filtradas[cnpj],empresas_filtradas[email])</f>
        <v>TAX.COMPLIANCE@MESSER-BR.COM</v>
      </c>
      <c r="Q161" t="str">
        <f>_xlfn.XLOOKUP(empresas_identificadas_complementadas[[#This Row],[cnpj]],empresas_filtradas!A:A,empresas_filtradas!M:M)</f>
        <v>Potencial Planta</v>
      </c>
    </row>
    <row r="162" spans="1:17" x14ac:dyDescent="0.25">
      <c r="A162">
        <v>35820448001965</v>
      </c>
      <c r="B162" t="s">
        <v>2</v>
      </c>
      <c r="C162" t="s">
        <v>751</v>
      </c>
      <c r="D162">
        <v>29146797</v>
      </c>
      <c r="E162" t="s">
        <v>49</v>
      </c>
      <c r="F162">
        <v>5625</v>
      </c>
      <c r="G162" t="s">
        <v>778</v>
      </c>
      <c r="H162" t="s">
        <v>779</v>
      </c>
      <c r="I162">
        <v>15.05</v>
      </c>
      <c r="J162">
        <v>-20.336221099999999</v>
      </c>
      <c r="K162">
        <v>-40.377916200000001</v>
      </c>
      <c r="L162" t="s">
        <v>742</v>
      </c>
      <c r="M162" t="s">
        <v>846</v>
      </c>
      <c r="N162" t="s">
        <v>49</v>
      </c>
      <c r="P162" t="str">
        <f>_xlfn.XLOOKUP(empresas_identificadas_complementadas[[#This Row],[cnpj]],empresas_filtradas[cnpj],empresas_filtradas[email])</f>
        <v>ATENDIMENTO@SAC.WHITEMARTINS.COM.BR</v>
      </c>
      <c r="Q162" t="str">
        <f>_xlfn.XLOOKUP(empresas_identificadas_complementadas[[#This Row],[cnpj]],empresas_filtradas!A:A,empresas_filtradas!M:M)</f>
        <v>Potencial Planta</v>
      </c>
    </row>
    <row r="163" spans="1:17" x14ac:dyDescent="0.25">
      <c r="A163">
        <v>331788002243</v>
      </c>
      <c r="B163" t="s">
        <v>2</v>
      </c>
      <c r="C163" t="s">
        <v>751</v>
      </c>
      <c r="D163">
        <v>12226311</v>
      </c>
      <c r="E163" t="s">
        <v>32</v>
      </c>
      <c r="F163">
        <v>7099</v>
      </c>
      <c r="G163" t="s">
        <v>793</v>
      </c>
      <c r="H163" t="s">
        <v>794</v>
      </c>
      <c r="I163">
        <v>15.46</v>
      </c>
      <c r="J163">
        <v>-23.186778199999999</v>
      </c>
      <c r="K163">
        <v>-45.885453800000001</v>
      </c>
      <c r="L163" t="s">
        <v>742</v>
      </c>
      <c r="M163" t="s">
        <v>836</v>
      </c>
      <c r="N163" t="s">
        <v>32</v>
      </c>
      <c r="O163" t="s">
        <v>755</v>
      </c>
      <c r="P163" t="str">
        <f>_xlfn.XLOOKUP(empresas_identificadas_complementadas[[#This Row],[cnpj]],empresas_filtradas[cnpj],empresas_filtradas[email])</f>
        <v>BRALB-PARALEGAL@AIRLIQUIDE.COM</v>
      </c>
      <c r="Q163" t="str">
        <f>_xlfn.XLOOKUP(empresas_identificadas_complementadas[[#This Row],[cnpj]],empresas_filtradas!A:A,empresas_filtradas!M:M)</f>
        <v>Potencial Planta</v>
      </c>
    </row>
    <row r="164" spans="1:17" x14ac:dyDescent="0.25">
      <c r="A164">
        <v>24380578004761</v>
      </c>
      <c r="B164" t="s">
        <v>2</v>
      </c>
      <c r="C164" t="s">
        <v>751</v>
      </c>
      <c r="D164">
        <v>50950000</v>
      </c>
      <c r="E164" t="s">
        <v>92</v>
      </c>
      <c r="F164">
        <v>2531</v>
      </c>
      <c r="G164" t="s">
        <v>796</v>
      </c>
      <c r="H164" t="s">
        <v>768</v>
      </c>
      <c r="I164">
        <v>35.72</v>
      </c>
      <c r="J164">
        <v>-8.0771335999999998</v>
      </c>
      <c r="K164">
        <v>-34.976466100000003</v>
      </c>
      <c r="L164" t="s">
        <v>742</v>
      </c>
      <c r="M164" t="s">
        <v>883</v>
      </c>
      <c r="N164" t="s">
        <v>92</v>
      </c>
      <c r="P164" t="str">
        <f>_xlfn.XLOOKUP(empresas_identificadas_complementadas[[#This Row],[cnpj]],empresas_filtradas[cnpj],empresas_filtradas[email])</f>
        <v>ATENDIMENTO@SAC.WHITEMARTINS.COM.BR</v>
      </c>
      <c r="Q164" t="str">
        <f>_xlfn.XLOOKUP(empresas_identificadas_complementadas[[#This Row],[cnpj]],empresas_filtradas!A:A,empresas_filtradas!M:M)</f>
        <v>Potencial Planta</v>
      </c>
    </row>
    <row r="165" spans="1:17" x14ac:dyDescent="0.25">
      <c r="A165">
        <v>67423152000682</v>
      </c>
      <c r="B165" t="s">
        <v>2</v>
      </c>
      <c r="C165" t="s">
        <v>751</v>
      </c>
      <c r="D165">
        <v>21040114</v>
      </c>
      <c r="E165" t="s">
        <v>27</v>
      </c>
      <c r="F165">
        <v>6001</v>
      </c>
      <c r="G165" t="s">
        <v>765</v>
      </c>
      <c r="H165" t="s">
        <v>753</v>
      </c>
      <c r="I165">
        <v>14.69</v>
      </c>
      <c r="J165">
        <v>-22.849970899999999</v>
      </c>
      <c r="K165">
        <v>-43.247734399999999</v>
      </c>
      <c r="L165" t="s">
        <v>742</v>
      </c>
      <c r="M165" t="s">
        <v>750</v>
      </c>
      <c r="N165" t="s">
        <v>27</v>
      </c>
      <c r="P165" t="str">
        <f>_xlfn.XLOOKUP(empresas_identificadas_complementadas[[#This Row],[cnpj]],empresas_filtradas[cnpj],empresas_filtradas[email])</f>
        <v>ibg6@ibg.com.br</v>
      </c>
      <c r="Q165" t="str">
        <f>_xlfn.XLOOKUP(empresas_identificadas_complementadas[[#This Row],[cnpj]],empresas_filtradas!A:A,empresas_filtradas!M:M)</f>
        <v>Relação</v>
      </c>
    </row>
    <row r="166" spans="1:17" x14ac:dyDescent="0.25">
      <c r="A166">
        <v>24380578003951</v>
      </c>
      <c r="B166" t="s">
        <v>2</v>
      </c>
      <c r="C166" t="s">
        <v>751</v>
      </c>
      <c r="D166">
        <v>57160000</v>
      </c>
      <c r="E166" t="s">
        <v>19</v>
      </c>
      <c r="F166">
        <v>2793</v>
      </c>
      <c r="G166" t="s">
        <v>740</v>
      </c>
      <c r="H166" t="s">
        <v>741</v>
      </c>
      <c r="I166">
        <v>0.19</v>
      </c>
      <c r="J166">
        <v>-9.7097149999999992</v>
      </c>
      <c r="K166">
        <v>-35.896731000000003</v>
      </c>
      <c r="L166" t="s">
        <v>742</v>
      </c>
      <c r="M166" t="s">
        <v>884</v>
      </c>
      <c r="N166" t="s">
        <v>19</v>
      </c>
      <c r="P166" t="str">
        <f>_xlfn.XLOOKUP(empresas_identificadas_complementadas[[#This Row],[cnpj]],empresas_filtradas[cnpj],empresas_filtradas[email])</f>
        <v>ATENDIMENTO@SAC.WHITEMARTINS.COM.BR</v>
      </c>
      <c r="Q166" t="str">
        <f>_xlfn.XLOOKUP(empresas_identificadas_complementadas[[#This Row],[cnpj]],empresas_filtradas!A:A,empresas_filtradas!M:M)</f>
        <v>Potencial Planta</v>
      </c>
    </row>
    <row r="167" spans="1:17" x14ac:dyDescent="0.25">
      <c r="A167">
        <v>43843358000199</v>
      </c>
      <c r="B167" t="s">
        <v>2</v>
      </c>
      <c r="C167" t="s">
        <v>739</v>
      </c>
      <c r="D167">
        <v>5001903</v>
      </c>
      <c r="E167" t="s">
        <v>32</v>
      </c>
      <c r="F167">
        <v>7107</v>
      </c>
      <c r="G167" t="s">
        <v>798</v>
      </c>
      <c r="H167" t="s">
        <v>799</v>
      </c>
      <c r="I167">
        <v>20.61</v>
      </c>
      <c r="J167">
        <v>-23.550650699999998</v>
      </c>
      <c r="K167">
        <v>-46.633382400000002</v>
      </c>
      <c r="L167" t="s">
        <v>742</v>
      </c>
      <c r="M167" t="s">
        <v>841</v>
      </c>
      <c r="N167" t="s">
        <v>32</v>
      </c>
      <c r="O167" t="s">
        <v>755</v>
      </c>
      <c r="P167" t="str">
        <f>_xlfn.XLOOKUP(empresas_identificadas_complementadas[[#This Row],[cnpj]],empresas_filtradas[cnpj],empresas_filtradas[email])</f>
        <v>IMPNFE@AIRPRODUCTS.COM</v>
      </c>
      <c r="Q167" t="str">
        <f>_xlfn.XLOOKUP(empresas_identificadas_complementadas[[#This Row],[cnpj]],empresas_filtradas!A:A,empresas_filtradas!M:M)</f>
        <v>Não Planta</v>
      </c>
    </row>
    <row r="168" spans="1:17" x14ac:dyDescent="0.25">
      <c r="A168">
        <v>60619202003406</v>
      </c>
      <c r="B168" t="s">
        <v>2</v>
      </c>
      <c r="C168" t="s">
        <v>751</v>
      </c>
      <c r="D168">
        <v>21515000</v>
      </c>
      <c r="E168" t="s">
        <v>27</v>
      </c>
      <c r="F168">
        <v>6001</v>
      </c>
      <c r="G168" t="s">
        <v>765</v>
      </c>
      <c r="H168" t="s">
        <v>753</v>
      </c>
      <c r="I168">
        <v>15.76</v>
      </c>
      <c r="J168">
        <v>-22.835592800000001</v>
      </c>
      <c r="K168">
        <v>-43.361570700000001</v>
      </c>
      <c r="L168" t="s">
        <v>742</v>
      </c>
      <c r="M168" t="s">
        <v>750</v>
      </c>
      <c r="N168" t="s">
        <v>27</v>
      </c>
      <c r="P168" t="str">
        <f>_xlfn.XLOOKUP(empresas_identificadas_complementadas[[#This Row],[cnpj]],empresas_filtradas[cnpj],empresas_filtradas[email])</f>
        <v>TAX.COMPLIANCE@MESSER-BR.COM</v>
      </c>
      <c r="Q168" t="str">
        <f>_xlfn.XLOOKUP(empresas_identificadas_complementadas[[#This Row],[cnpj]],empresas_filtradas!A:A,empresas_filtradas!M:M)</f>
        <v>Potencial Planta</v>
      </c>
    </row>
    <row r="169" spans="1:17" x14ac:dyDescent="0.25">
      <c r="A169">
        <v>8763149000134</v>
      </c>
      <c r="B169" t="s">
        <v>2</v>
      </c>
      <c r="C169" t="s">
        <v>739</v>
      </c>
      <c r="D169">
        <v>23570000</v>
      </c>
      <c r="E169" t="s">
        <v>27</v>
      </c>
      <c r="F169">
        <v>6001</v>
      </c>
      <c r="G169" t="s">
        <v>748</v>
      </c>
      <c r="H169" t="s">
        <v>749</v>
      </c>
      <c r="I169">
        <v>6.86</v>
      </c>
      <c r="J169">
        <v>-22.8952259</v>
      </c>
      <c r="K169">
        <v>-43.739815800000002</v>
      </c>
      <c r="L169" t="s">
        <v>742</v>
      </c>
      <c r="M169" t="s">
        <v>750</v>
      </c>
      <c r="N169" t="s">
        <v>27</v>
      </c>
      <c r="P169" t="str">
        <f>_xlfn.XLOOKUP(empresas_identificadas_complementadas[[#This Row],[cnpj]],empresas_filtradas[cnpj],empresas_filtradas[email])</f>
        <v>ATENDIMENTO@SAC.WHITEMARTINS.COM.BR</v>
      </c>
      <c r="Q169" t="str">
        <f>_xlfn.XLOOKUP(empresas_identificadas_complementadas[[#This Row],[cnpj]],empresas_filtradas!A:A,empresas_filtradas!M:M)</f>
        <v>Não Planta</v>
      </c>
    </row>
    <row r="170" spans="1:17" x14ac:dyDescent="0.25">
      <c r="A170">
        <v>60619202002353</v>
      </c>
      <c r="B170" t="s">
        <v>2</v>
      </c>
      <c r="C170" t="s">
        <v>751</v>
      </c>
      <c r="D170">
        <v>27313191</v>
      </c>
      <c r="E170" t="s">
        <v>27</v>
      </c>
      <c r="F170">
        <v>5807</v>
      </c>
      <c r="G170" t="s">
        <v>828</v>
      </c>
      <c r="H170" t="s">
        <v>749</v>
      </c>
      <c r="I170">
        <v>8.89</v>
      </c>
      <c r="J170">
        <v>-22.5255741</v>
      </c>
      <c r="K170">
        <v>-44.190509599999999</v>
      </c>
      <c r="L170" t="s">
        <v>742</v>
      </c>
      <c r="M170" t="s">
        <v>885</v>
      </c>
      <c r="N170" t="s">
        <v>27</v>
      </c>
      <c r="P170" t="str">
        <f>_xlfn.XLOOKUP(empresas_identificadas_complementadas[[#This Row],[cnpj]],empresas_filtradas[cnpj],empresas_filtradas[email])</f>
        <v>TAX.COMPLIANCE@MESSER-BR.COM</v>
      </c>
      <c r="Q170" t="str">
        <f>_xlfn.XLOOKUP(empresas_identificadas_complementadas[[#This Row],[cnpj]],empresas_filtradas!A:A,empresas_filtradas!M:M)</f>
        <v>Potencial Planta</v>
      </c>
    </row>
    <row r="171" spans="1:17" x14ac:dyDescent="0.25">
      <c r="A171">
        <v>24380578005733</v>
      </c>
      <c r="B171" t="s">
        <v>2</v>
      </c>
      <c r="C171" t="s">
        <v>744</v>
      </c>
      <c r="D171">
        <v>68390000</v>
      </c>
      <c r="E171" t="s">
        <v>78</v>
      </c>
      <c r="F171">
        <v>591</v>
      </c>
      <c r="G171" t="s">
        <v>784</v>
      </c>
      <c r="H171" t="s">
        <v>785</v>
      </c>
      <c r="I171">
        <v>633.92999999999995</v>
      </c>
      <c r="J171">
        <v>-6.7489749999999997</v>
      </c>
      <c r="K171">
        <v>-51.078847600000003</v>
      </c>
      <c r="L171" t="s">
        <v>742</v>
      </c>
      <c r="M171" t="s">
        <v>886</v>
      </c>
      <c r="N171" t="s">
        <v>78</v>
      </c>
      <c r="P171" t="str">
        <f>_xlfn.XLOOKUP(empresas_identificadas_complementadas[[#This Row],[cnpj]],empresas_filtradas[cnpj],empresas_filtradas[email])</f>
        <v>ATENDIMENTO@SAC.WHITEMARTINS.COM.BR</v>
      </c>
      <c r="Q171" t="str">
        <f>_xlfn.XLOOKUP(empresas_identificadas_complementadas[[#This Row],[cnpj]],empresas_filtradas!A:A,empresas_filtradas!M:M)</f>
        <v>Não Planta</v>
      </c>
    </row>
    <row r="172" spans="1:17" x14ac:dyDescent="0.25">
      <c r="A172">
        <v>35820448019155</v>
      </c>
      <c r="B172" t="s">
        <v>2</v>
      </c>
      <c r="C172" t="s">
        <v>739</v>
      </c>
      <c r="D172">
        <v>23570000</v>
      </c>
      <c r="E172" t="s">
        <v>27</v>
      </c>
      <c r="F172">
        <v>6001</v>
      </c>
      <c r="G172" t="s">
        <v>748</v>
      </c>
      <c r="H172" t="s">
        <v>749</v>
      </c>
      <c r="I172">
        <v>6.86</v>
      </c>
      <c r="J172">
        <v>-22.8952259</v>
      </c>
      <c r="K172">
        <v>-43.739815800000002</v>
      </c>
      <c r="L172" t="s">
        <v>742</v>
      </c>
      <c r="M172" t="s">
        <v>750</v>
      </c>
      <c r="N172" t="s">
        <v>27</v>
      </c>
      <c r="P172" t="str">
        <f>_xlfn.XLOOKUP(empresas_identificadas_complementadas[[#This Row],[cnpj]],empresas_filtradas[cnpj],empresas_filtradas[email])</f>
        <v>ATENDIMENTO@SAC.WHITEMARTINS.COM.BR</v>
      </c>
      <c r="Q172" t="str">
        <f>_xlfn.XLOOKUP(empresas_identificadas_complementadas[[#This Row],[cnpj]],empresas_filtradas!A:A,empresas_filtradas!M:M)</f>
        <v>Não Planta</v>
      </c>
    </row>
    <row r="173" spans="1:17" x14ac:dyDescent="0.25">
      <c r="A173">
        <v>18487144000180</v>
      </c>
      <c r="B173" t="s">
        <v>2</v>
      </c>
      <c r="C173" t="s">
        <v>744</v>
      </c>
      <c r="D173">
        <v>88311528</v>
      </c>
      <c r="E173" t="s">
        <v>65</v>
      </c>
      <c r="F173">
        <v>8161</v>
      </c>
      <c r="G173" t="s">
        <v>801</v>
      </c>
      <c r="H173" t="s">
        <v>802</v>
      </c>
      <c r="I173">
        <v>164.45</v>
      </c>
      <c r="J173">
        <v>-26.904678700000002</v>
      </c>
      <c r="K173">
        <v>-48.655297900000001</v>
      </c>
      <c r="L173" t="s">
        <v>742</v>
      </c>
      <c r="M173" t="s">
        <v>887</v>
      </c>
      <c r="N173" t="s">
        <v>65</v>
      </c>
      <c r="O173" t="s">
        <v>755</v>
      </c>
      <c r="P173" t="str">
        <f>_xlfn.XLOOKUP(empresas_identificadas_complementadas[[#This Row],[cnpj]],empresas_filtradas[cnpj],empresas_filtradas[email])</f>
        <v>CONTATO@IGIINDUSTRIA.COM.BR</v>
      </c>
      <c r="Q173" t="str">
        <f>_xlfn.XLOOKUP(empresas_identificadas_complementadas[[#This Row],[cnpj]],empresas_filtradas!A:A,empresas_filtradas!M:M)</f>
        <v>Sem Relação</v>
      </c>
    </row>
    <row r="174" spans="1:17" x14ac:dyDescent="0.25">
      <c r="A174">
        <v>43843358003619</v>
      </c>
      <c r="B174" t="s">
        <v>2</v>
      </c>
      <c r="C174" t="s">
        <v>744</v>
      </c>
      <c r="D174">
        <v>12521000</v>
      </c>
      <c r="E174" t="s">
        <v>32</v>
      </c>
      <c r="F174">
        <v>6469</v>
      </c>
      <c r="G174" t="s">
        <v>793</v>
      </c>
      <c r="H174" t="s">
        <v>794</v>
      </c>
      <c r="I174">
        <v>96.72</v>
      </c>
      <c r="J174">
        <v>-22.805783900000002</v>
      </c>
      <c r="K174">
        <v>-45.190892599999998</v>
      </c>
      <c r="L174" t="s">
        <v>742</v>
      </c>
      <c r="M174" t="s">
        <v>795</v>
      </c>
      <c r="N174" t="s">
        <v>32</v>
      </c>
      <c r="O174" t="s">
        <v>755</v>
      </c>
      <c r="P174" t="str">
        <f>_xlfn.XLOOKUP(empresas_identificadas_complementadas[[#This Row],[cnpj]],empresas_filtradas[cnpj],empresas_filtradas[email])</f>
        <v>IMPNFE@AIRPRODUCTS.COM</v>
      </c>
      <c r="Q174" t="str">
        <f>_xlfn.XLOOKUP(empresas_identificadas_complementadas[[#This Row],[cnpj]],empresas_filtradas!A:A,empresas_filtradas!M:M)</f>
        <v>Planta</v>
      </c>
    </row>
    <row r="175" spans="1:17" x14ac:dyDescent="0.25">
      <c r="A175">
        <v>331788009337</v>
      </c>
      <c r="B175" t="s">
        <v>2</v>
      </c>
      <c r="D175">
        <v>38402810</v>
      </c>
      <c r="E175" t="s">
        <v>17</v>
      </c>
      <c r="F175">
        <v>5403</v>
      </c>
      <c r="G175" t="s">
        <v>745</v>
      </c>
      <c r="H175" t="s">
        <v>746</v>
      </c>
      <c r="I175">
        <v>98.68</v>
      </c>
      <c r="J175">
        <v>-18.918804099999999</v>
      </c>
      <c r="K175">
        <v>-48.276783700000003</v>
      </c>
      <c r="L175" t="s">
        <v>742</v>
      </c>
      <c r="M175" t="s">
        <v>787</v>
      </c>
      <c r="N175" t="s">
        <v>17</v>
      </c>
      <c r="O175" t="s">
        <v>755</v>
      </c>
      <c r="P175" t="str">
        <f>_xlfn.XLOOKUP(empresas_identificadas_complementadas[[#This Row],[cnpj]],empresas_filtradas[cnpj],empresas_filtradas[email])</f>
        <v>BRALB-PARALEGAL@AIRLIQUIDE.COM</v>
      </c>
      <c r="Q175" t="str">
        <f>_xlfn.XLOOKUP(empresas_identificadas_complementadas[[#This Row],[cnpj]],empresas_filtradas!A:A,empresas_filtradas!M:M)</f>
        <v>Não Planta</v>
      </c>
    </row>
    <row r="176" spans="1:17" x14ac:dyDescent="0.25">
      <c r="A176">
        <v>35820448022296</v>
      </c>
      <c r="B176" t="s">
        <v>2</v>
      </c>
      <c r="C176" t="s">
        <v>744</v>
      </c>
      <c r="D176">
        <v>79180000</v>
      </c>
      <c r="E176" t="s">
        <v>62</v>
      </c>
      <c r="F176">
        <v>9141</v>
      </c>
      <c r="G176" t="s">
        <v>745</v>
      </c>
      <c r="H176" t="s">
        <v>746</v>
      </c>
      <c r="I176">
        <v>612.89</v>
      </c>
      <c r="J176">
        <v>-20.4515262</v>
      </c>
      <c r="K176">
        <v>-53.760460100000003</v>
      </c>
      <c r="L176" t="s">
        <v>742</v>
      </c>
      <c r="P176" t="str">
        <f>_xlfn.XLOOKUP(empresas_identificadas_complementadas[[#This Row],[cnpj]],empresas_filtradas[cnpj],empresas_filtradas[email])</f>
        <v>ATENDIMENTO@SAC.WHITEMARTINS.COM.BR</v>
      </c>
      <c r="Q176" t="str">
        <f>_xlfn.XLOOKUP(empresas_identificadas_complementadas[[#This Row],[cnpj]],empresas_filtradas!A:A,empresas_filtradas!M:M)</f>
        <v>Não Planta</v>
      </c>
    </row>
    <row r="177" spans="1:17" x14ac:dyDescent="0.25">
      <c r="A177">
        <v>24380578003285</v>
      </c>
      <c r="B177" t="s">
        <v>2</v>
      </c>
      <c r="C177" t="s">
        <v>739</v>
      </c>
      <c r="D177">
        <v>60310000</v>
      </c>
      <c r="E177" t="s">
        <v>108</v>
      </c>
      <c r="F177">
        <v>1389</v>
      </c>
      <c r="G177" t="s">
        <v>767</v>
      </c>
      <c r="H177" t="s">
        <v>768</v>
      </c>
      <c r="I177">
        <v>34.85</v>
      </c>
      <c r="J177">
        <v>-3.7205157</v>
      </c>
      <c r="K177">
        <v>-38.547932500000002</v>
      </c>
      <c r="L177" t="s">
        <v>742</v>
      </c>
      <c r="M177" t="s">
        <v>888</v>
      </c>
      <c r="N177" t="s">
        <v>108</v>
      </c>
      <c r="P177" t="str">
        <f>_xlfn.XLOOKUP(empresas_identificadas_complementadas[[#This Row],[cnpj]],empresas_filtradas[cnpj],empresas_filtradas[email])</f>
        <v>ATENDIMENTO@SAC.WHITEMARTINS.COM.BR</v>
      </c>
      <c r="Q177" t="str">
        <f>_xlfn.XLOOKUP(empresas_identificadas_complementadas[[#This Row],[cnpj]],empresas_filtradas!A:A,empresas_filtradas!M:M)</f>
        <v>Não Planta</v>
      </c>
    </row>
    <row r="178" spans="1:17" x14ac:dyDescent="0.25">
      <c r="A178">
        <v>35820448016482</v>
      </c>
      <c r="B178" t="s">
        <v>2</v>
      </c>
      <c r="C178" t="s">
        <v>751</v>
      </c>
      <c r="D178">
        <v>83707746</v>
      </c>
      <c r="E178" t="s">
        <v>45</v>
      </c>
      <c r="F178">
        <v>7435</v>
      </c>
      <c r="G178" t="s">
        <v>801</v>
      </c>
      <c r="H178" t="s">
        <v>802</v>
      </c>
      <c r="I178">
        <v>0.14000000000000001</v>
      </c>
      <c r="J178">
        <v>-25.586110699999999</v>
      </c>
      <c r="K178">
        <v>-49.4051209</v>
      </c>
      <c r="L178" t="s">
        <v>742</v>
      </c>
      <c r="M178" t="s">
        <v>889</v>
      </c>
      <c r="N178" t="s">
        <v>45</v>
      </c>
      <c r="O178" t="s">
        <v>755</v>
      </c>
      <c r="P178" t="str">
        <f>_xlfn.XLOOKUP(empresas_identificadas_complementadas[[#This Row],[cnpj]],empresas_filtradas[cnpj],empresas_filtradas[email])</f>
        <v>ATENDIMENTO@SAC.WHITEMARTINS.COM.BR</v>
      </c>
      <c r="Q178" t="str">
        <f>_xlfn.XLOOKUP(empresas_identificadas_complementadas[[#This Row],[cnpj]],empresas_filtradas!A:A,empresas_filtradas!M:M)</f>
        <v>Potencial Planta</v>
      </c>
    </row>
    <row r="179" spans="1:17" x14ac:dyDescent="0.25">
      <c r="A179">
        <v>35820448005952</v>
      </c>
      <c r="B179" t="s">
        <v>2</v>
      </c>
      <c r="C179" t="s">
        <v>744</v>
      </c>
      <c r="D179">
        <v>98005150</v>
      </c>
      <c r="E179" t="s">
        <v>117</v>
      </c>
      <c r="F179">
        <v>8619</v>
      </c>
      <c r="G179" t="s">
        <v>771</v>
      </c>
      <c r="H179" t="s">
        <v>760</v>
      </c>
      <c r="I179">
        <v>254.91</v>
      </c>
      <c r="J179">
        <v>-28.6451335</v>
      </c>
      <c r="K179">
        <v>-53.605838800000001</v>
      </c>
      <c r="L179" t="s">
        <v>742</v>
      </c>
      <c r="M179" t="s">
        <v>890</v>
      </c>
      <c r="N179" t="s">
        <v>117</v>
      </c>
      <c r="P179" t="str">
        <f>_xlfn.XLOOKUP(empresas_identificadas_complementadas[[#This Row],[cnpj]],empresas_filtradas[cnpj],empresas_filtradas[email])</f>
        <v>ATENDIMENTO@SAC.WHITEMARTINS.COM.BR</v>
      </c>
      <c r="Q179" t="str">
        <f>_xlfn.XLOOKUP(empresas_identificadas_complementadas[[#This Row],[cnpj]],empresas_filtradas!A:A,empresas_filtradas!M:M)</f>
        <v>Não Planta</v>
      </c>
    </row>
    <row r="180" spans="1:17" x14ac:dyDescent="0.25">
      <c r="A180">
        <v>35820448006924</v>
      </c>
      <c r="B180" t="s">
        <v>2</v>
      </c>
      <c r="C180" t="s">
        <v>751</v>
      </c>
      <c r="D180">
        <v>7210007</v>
      </c>
      <c r="E180" t="s">
        <v>32</v>
      </c>
      <c r="F180">
        <v>6477</v>
      </c>
      <c r="G180" t="s">
        <v>798</v>
      </c>
      <c r="H180" t="s">
        <v>799</v>
      </c>
      <c r="I180">
        <v>22.19</v>
      </c>
      <c r="J180">
        <v>-23.467594099999999</v>
      </c>
      <c r="K180">
        <v>-46.527770400000001</v>
      </c>
      <c r="L180" t="s">
        <v>742</v>
      </c>
      <c r="M180" t="s">
        <v>842</v>
      </c>
      <c r="N180" t="s">
        <v>32</v>
      </c>
      <c r="O180" t="s">
        <v>755</v>
      </c>
      <c r="P180" t="str">
        <f>_xlfn.XLOOKUP(empresas_identificadas_complementadas[[#This Row],[cnpj]],empresas_filtradas[cnpj],empresas_filtradas[email])</f>
        <v>ATENDIMENTO@SAC.WHITEMARTINS.COM.BR</v>
      </c>
      <c r="Q180" t="str">
        <f>_xlfn.XLOOKUP(empresas_identificadas_complementadas[[#This Row],[cnpj]],empresas_filtradas!A:A,empresas_filtradas!M:M)</f>
        <v>Potencial Planta</v>
      </c>
    </row>
    <row r="181" spans="1:17" x14ac:dyDescent="0.25">
      <c r="A181">
        <v>43843358001756</v>
      </c>
      <c r="B181" t="s">
        <v>2</v>
      </c>
      <c r="C181" t="s">
        <v>744</v>
      </c>
      <c r="D181">
        <v>14808165</v>
      </c>
      <c r="E181" t="s">
        <v>32</v>
      </c>
      <c r="F181">
        <v>6163</v>
      </c>
      <c r="G181" t="s">
        <v>752</v>
      </c>
      <c r="H181" t="s">
        <v>753</v>
      </c>
      <c r="I181">
        <v>145.4</v>
      </c>
      <c r="J181">
        <v>-21.817471999999999</v>
      </c>
      <c r="K181">
        <v>-48.152191199999997</v>
      </c>
      <c r="L181" t="s">
        <v>742</v>
      </c>
      <c r="M181" t="s">
        <v>891</v>
      </c>
      <c r="N181" t="s">
        <v>32</v>
      </c>
      <c r="P181" t="str">
        <f>_xlfn.XLOOKUP(empresas_identificadas_complementadas[[#This Row],[cnpj]],empresas_filtradas[cnpj],empresas_filtradas[email])</f>
        <v>IMPNFE@AIRPRODUCTS.COM</v>
      </c>
      <c r="Q181" t="str">
        <f>_xlfn.XLOOKUP(empresas_identificadas_complementadas[[#This Row],[cnpj]],empresas_filtradas!A:A,empresas_filtradas!M:M)</f>
        <v>Não Planta</v>
      </c>
    </row>
    <row r="182" spans="1:17" x14ac:dyDescent="0.25">
      <c r="A182">
        <v>60619202000733</v>
      </c>
      <c r="B182" t="s">
        <v>2</v>
      </c>
      <c r="C182" t="s">
        <v>751</v>
      </c>
      <c r="D182">
        <v>25070235</v>
      </c>
      <c r="E182" t="s">
        <v>27</v>
      </c>
      <c r="F182">
        <v>5833</v>
      </c>
      <c r="G182" t="s">
        <v>765</v>
      </c>
      <c r="H182" t="s">
        <v>753</v>
      </c>
      <c r="I182">
        <v>8.64</v>
      </c>
      <c r="J182">
        <v>-22.7896225</v>
      </c>
      <c r="K182">
        <v>-43.309928999999997</v>
      </c>
      <c r="L182" t="s">
        <v>742</v>
      </c>
      <c r="M182" t="s">
        <v>875</v>
      </c>
      <c r="N182" t="s">
        <v>27</v>
      </c>
      <c r="O182" t="s">
        <v>755</v>
      </c>
      <c r="P182" t="str">
        <f>_xlfn.XLOOKUP(empresas_identificadas_complementadas[[#This Row],[cnpj]],empresas_filtradas[cnpj],empresas_filtradas[email])</f>
        <v>TAX.COMPLIANCE@MESSER-BR.COM</v>
      </c>
      <c r="Q182" t="str">
        <f>_xlfn.XLOOKUP(empresas_identificadas_complementadas[[#This Row],[cnpj]],empresas_filtradas!A:A,empresas_filtradas!M:M)</f>
        <v>Potencial Planta</v>
      </c>
    </row>
    <row r="183" spans="1:17" x14ac:dyDescent="0.25">
      <c r="A183">
        <v>34597955000513</v>
      </c>
      <c r="B183" t="s">
        <v>2</v>
      </c>
      <c r="C183" t="s">
        <v>744</v>
      </c>
      <c r="D183">
        <v>65095170</v>
      </c>
      <c r="E183" t="s">
        <v>56</v>
      </c>
      <c r="F183">
        <v>921</v>
      </c>
      <c r="P183" t="str">
        <f>_xlfn.XLOOKUP(empresas_identificadas_complementadas[[#This Row],[cnpj]],empresas_filtradas[cnpj],empresas_filtradas[email])</f>
        <v>ATENDIMENTO@SAC.WHITEMARTINS.COM.BR</v>
      </c>
      <c r="Q183" t="str">
        <f>_xlfn.XLOOKUP(empresas_identificadas_complementadas[[#This Row],[cnpj]],empresas_filtradas!A:A,empresas_filtradas!M:M)</f>
        <v>Não Planta</v>
      </c>
    </row>
    <row r="184" spans="1:17" x14ac:dyDescent="0.25">
      <c r="A184">
        <v>35820448009435</v>
      </c>
      <c r="B184" t="s">
        <v>2</v>
      </c>
      <c r="C184" t="s">
        <v>744</v>
      </c>
      <c r="D184">
        <v>14176503</v>
      </c>
      <c r="E184" t="s">
        <v>32</v>
      </c>
      <c r="F184">
        <v>7135</v>
      </c>
      <c r="G184" t="s">
        <v>745</v>
      </c>
      <c r="H184" t="s">
        <v>746</v>
      </c>
      <c r="I184">
        <v>154.72</v>
      </c>
      <c r="J184">
        <v>-21.1375782</v>
      </c>
      <c r="K184">
        <v>-47.991374100000002</v>
      </c>
      <c r="L184" t="s">
        <v>742</v>
      </c>
      <c r="M184" t="s">
        <v>853</v>
      </c>
      <c r="N184" t="s">
        <v>32</v>
      </c>
      <c r="O184" t="s">
        <v>755</v>
      </c>
      <c r="P184" t="str">
        <f>_xlfn.XLOOKUP(empresas_identificadas_complementadas[[#This Row],[cnpj]],empresas_filtradas[cnpj],empresas_filtradas[email])</f>
        <v>ATENDIMENTO@SAC.WHITEMARTINS.COM.BR</v>
      </c>
      <c r="Q184" t="str">
        <f>_xlfn.XLOOKUP(empresas_identificadas_complementadas[[#This Row],[cnpj]],empresas_filtradas!A:A,empresas_filtradas!M:M)</f>
        <v>Não Planta</v>
      </c>
    </row>
    <row r="185" spans="1:17" x14ac:dyDescent="0.25">
      <c r="A185">
        <v>34597955000432</v>
      </c>
      <c r="B185" t="s">
        <v>2</v>
      </c>
      <c r="C185" t="s">
        <v>744</v>
      </c>
      <c r="D185">
        <v>69075155</v>
      </c>
      <c r="E185" t="s">
        <v>114</v>
      </c>
      <c r="F185">
        <v>255</v>
      </c>
      <c r="G185" t="s">
        <v>784</v>
      </c>
      <c r="H185" t="s">
        <v>785</v>
      </c>
      <c r="I185">
        <v>1256.31</v>
      </c>
      <c r="J185">
        <v>-3.1120983999999998</v>
      </c>
      <c r="K185">
        <v>-59.944982899999999</v>
      </c>
      <c r="L185" t="s">
        <v>742</v>
      </c>
      <c r="M185" t="s">
        <v>892</v>
      </c>
      <c r="N185" t="s">
        <v>114</v>
      </c>
      <c r="P185" t="str">
        <f>_xlfn.XLOOKUP(empresas_identificadas_complementadas[[#This Row],[cnpj]],empresas_filtradas[cnpj],empresas_filtradas[email])</f>
        <v>ATENDIMENTO@SAC.WHITEMARTINS.COM.BR</v>
      </c>
      <c r="Q185" t="str">
        <f>_xlfn.XLOOKUP(empresas_identificadas_complementadas[[#This Row],[cnpj]],empresas_filtradas!A:A,empresas_filtradas!M:M)</f>
        <v>Não Planta</v>
      </c>
    </row>
    <row r="186" spans="1:17" x14ac:dyDescent="0.25">
      <c r="A186">
        <v>43843358001918</v>
      </c>
      <c r="B186" t="s">
        <v>2</v>
      </c>
      <c r="C186" t="s">
        <v>744</v>
      </c>
      <c r="D186">
        <v>14210000</v>
      </c>
      <c r="E186" t="s">
        <v>32</v>
      </c>
      <c r="F186">
        <v>6653</v>
      </c>
      <c r="G186" t="s">
        <v>752</v>
      </c>
      <c r="H186" t="s">
        <v>753</v>
      </c>
      <c r="I186">
        <v>142.18</v>
      </c>
      <c r="J186">
        <v>-21.556468500000001</v>
      </c>
      <c r="K186">
        <v>-47.6910679</v>
      </c>
      <c r="L186" t="s">
        <v>742</v>
      </c>
      <c r="P186" t="str">
        <f>_xlfn.XLOOKUP(empresas_identificadas_complementadas[[#This Row],[cnpj]],empresas_filtradas[cnpj],empresas_filtradas[email])</f>
        <v>IMPNFE@AIRPRODUCTS.COM</v>
      </c>
      <c r="Q186" t="str">
        <f>_xlfn.XLOOKUP(empresas_identificadas_complementadas[[#This Row],[cnpj]],empresas_filtradas!A:A,empresas_filtradas!M:M)</f>
        <v>Não Planta</v>
      </c>
    </row>
    <row r="187" spans="1:17" x14ac:dyDescent="0.25">
      <c r="A187">
        <v>35820448003070</v>
      </c>
      <c r="B187" t="s">
        <v>2</v>
      </c>
      <c r="C187" t="s">
        <v>751</v>
      </c>
      <c r="D187">
        <v>32010130</v>
      </c>
      <c r="E187" t="s">
        <v>17</v>
      </c>
      <c r="F187">
        <v>4371</v>
      </c>
      <c r="G187" t="s">
        <v>788</v>
      </c>
      <c r="H187" t="s">
        <v>789</v>
      </c>
      <c r="I187">
        <v>7.83</v>
      </c>
      <c r="J187">
        <v>-19.935066800000001</v>
      </c>
      <c r="K187">
        <v>-44.064400499999998</v>
      </c>
      <c r="L187" t="s">
        <v>742</v>
      </c>
      <c r="M187" t="s">
        <v>790</v>
      </c>
      <c r="N187" t="s">
        <v>17</v>
      </c>
      <c r="P187" t="str">
        <f>_xlfn.XLOOKUP(empresas_identificadas_complementadas[[#This Row],[cnpj]],empresas_filtradas[cnpj],empresas_filtradas[email])</f>
        <v>ATENDIMENTO@SAC.WHITEMARTINS.COM.BR</v>
      </c>
      <c r="Q187" t="str">
        <f>_xlfn.XLOOKUP(empresas_identificadas_complementadas[[#This Row],[cnpj]],empresas_filtradas!A:A,empresas_filtradas!M:M)</f>
        <v>Potencial Planta</v>
      </c>
    </row>
    <row r="188" spans="1:17" x14ac:dyDescent="0.25">
      <c r="A188">
        <v>60619202004801</v>
      </c>
      <c r="B188" t="s">
        <v>2</v>
      </c>
      <c r="C188" t="s">
        <v>751</v>
      </c>
      <c r="D188">
        <v>11573000</v>
      </c>
      <c r="E188" t="s">
        <v>32</v>
      </c>
      <c r="F188">
        <v>6371</v>
      </c>
      <c r="G188" t="s">
        <v>775</v>
      </c>
      <c r="H188" t="s">
        <v>776</v>
      </c>
      <c r="I188">
        <v>1.64</v>
      </c>
      <c r="J188">
        <v>-23.884207700000001</v>
      </c>
      <c r="K188">
        <v>-46.421306100000002</v>
      </c>
      <c r="L188" t="s">
        <v>742</v>
      </c>
      <c r="M188" t="s">
        <v>777</v>
      </c>
      <c r="N188" t="s">
        <v>32</v>
      </c>
      <c r="O188" t="s">
        <v>755</v>
      </c>
      <c r="P188" t="str">
        <f>_xlfn.XLOOKUP(empresas_identificadas_complementadas[[#This Row],[cnpj]],empresas_filtradas[cnpj],empresas_filtradas[email])</f>
        <v>TAX.COMPLIANCE@MESSER-BR.COM</v>
      </c>
      <c r="Q188" t="str">
        <f>_xlfn.XLOOKUP(empresas_identificadas_complementadas[[#This Row],[cnpj]],empresas_filtradas!A:A,empresas_filtradas!M:M)</f>
        <v>Potencial Planta</v>
      </c>
    </row>
    <row r="189" spans="1:17" x14ac:dyDescent="0.25">
      <c r="A189">
        <v>331788001271</v>
      </c>
      <c r="B189" t="s">
        <v>2</v>
      </c>
      <c r="C189" t="s">
        <v>744</v>
      </c>
      <c r="D189">
        <v>14175350</v>
      </c>
      <c r="E189" t="s">
        <v>32</v>
      </c>
      <c r="F189">
        <v>7135</v>
      </c>
      <c r="G189" t="s">
        <v>745</v>
      </c>
      <c r="H189" t="s">
        <v>746</v>
      </c>
      <c r="I189">
        <v>154.72</v>
      </c>
      <c r="J189">
        <v>-21.1375782</v>
      </c>
      <c r="K189">
        <v>-47.991374100000002</v>
      </c>
      <c r="L189" t="s">
        <v>742</v>
      </c>
      <c r="M189" t="s">
        <v>853</v>
      </c>
      <c r="N189" t="s">
        <v>32</v>
      </c>
      <c r="O189" t="s">
        <v>755</v>
      </c>
      <c r="P189" t="str">
        <f>_xlfn.XLOOKUP(empresas_identificadas_complementadas[[#This Row],[cnpj]],empresas_filtradas[cnpj],empresas_filtradas[email])</f>
        <v>BRALB-PARALEGAL@AIRLIQUIDE.COM</v>
      </c>
      <c r="Q189" t="str">
        <f>_xlfn.XLOOKUP(empresas_identificadas_complementadas[[#This Row],[cnpj]],empresas_filtradas!A:A,empresas_filtradas!M:M)</f>
        <v>Não Planta</v>
      </c>
    </row>
    <row r="190" spans="1:17" x14ac:dyDescent="0.25">
      <c r="A190">
        <v>35820448016725</v>
      </c>
      <c r="B190" t="s">
        <v>2</v>
      </c>
      <c r="C190" t="s">
        <v>751</v>
      </c>
      <c r="D190">
        <v>25225030</v>
      </c>
      <c r="E190" t="s">
        <v>27</v>
      </c>
      <c r="F190">
        <v>5833</v>
      </c>
      <c r="G190" t="s">
        <v>765</v>
      </c>
      <c r="H190" t="s">
        <v>753</v>
      </c>
      <c r="I190">
        <v>8.64</v>
      </c>
      <c r="J190">
        <v>-22.7896225</v>
      </c>
      <c r="K190">
        <v>-43.309928999999997</v>
      </c>
      <c r="L190" t="s">
        <v>742</v>
      </c>
      <c r="M190" t="s">
        <v>875</v>
      </c>
      <c r="N190" t="s">
        <v>27</v>
      </c>
      <c r="O190" t="s">
        <v>755</v>
      </c>
      <c r="P190" t="str">
        <f>_xlfn.XLOOKUP(empresas_identificadas_complementadas[[#This Row],[cnpj]],empresas_filtradas[cnpj],empresas_filtradas[email])</f>
        <v>ATENDIMENTO@SAC.WHITEMARTINS.COM.BR</v>
      </c>
      <c r="Q190" t="str">
        <f>_xlfn.XLOOKUP(empresas_identificadas_complementadas[[#This Row],[cnpj]],empresas_filtradas!A:A,empresas_filtradas!M:M)</f>
        <v>Potencial Planta</v>
      </c>
    </row>
    <row r="191" spans="1:17" x14ac:dyDescent="0.25">
      <c r="A191">
        <v>60619202004054</v>
      </c>
      <c r="B191" t="s">
        <v>2</v>
      </c>
      <c r="C191" t="s">
        <v>744</v>
      </c>
      <c r="D191">
        <v>18685745</v>
      </c>
      <c r="E191" t="s">
        <v>32</v>
      </c>
      <c r="F191">
        <v>6637</v>
      </c>
      <c r="G191" t="s">
        <v>752</v>
      </c>
      <c r="H191" t="s">
        <v>753</v>
      </c>
      <c r="I191">
        <v>171.42</v>
      </c>
      <c r="J191">
        <v>-22.602989699999998</v>
      </c>
      <c r="K191">
        <v>-48.803136700000003</v>
      </c>
      <c r="L191" t="s">
        <v>742</v>
      </c>
      <c r="M191" t="s">
        <v>840</v>
      </c>
      <c r="N191" t="s">
        <v>32</v>
      </c>
      <c r="O191" t="s">
        <v>755</v>
      </c>
      <c r="P191" t="str">
        <f>_xlfn.XLOOKUP(empresas_identificadas_complementadas[[#This Row],[cnpj]],empresas_filtradas[cnpj],empresas_filtradas[email])</f>
        <v>TAX.COMPLIANCE@MESSER-BR.COM</v>
      </c>
      <c r="Q191" t="str">
        <f>_xlfn.XLOOKUP(empresas_identificadas_complementadas[[#This Row],[cnpj]],empresas_filtradas!A:A,empresas_filtradas!M:M)</f>
        <v>Planta</v>
      </c>
    </row>
    <row r="192" spans="1:17" x14ac:dyDescent="0.25">
      <c r="A192">
        <v>24380578006462</v>
      </c>
      <c r="B192" t="s">
        <v>2</v>
      </c>
      <c r="C192" t="s">
        <v>751</v>
      </c>
      <c r="D192">
        <v>55590000</v>
      </c>
      <c r="E192" t="s">
        <v>92</v>
      </c>
      <c r="F192">
        <v>2443</v>
      </c>
      <c r="G192" t="s">
        <v>796</v>
      </c>
      <c r="H192" t="s">
        <v>768</v>
      </c>
      <c r="I192">
        <v>12.03</v>
      </c>
      <c r="J192">
        <v>-8.4914819999999995</v>
      </c>
      <c r="K192">
        <v>-35.0149908</v>
      </c>
      <c r="L192" t="s">
        <v>742</v>
      </c>
      <c r="P192" t="str">
        <f>_xlfn.XLOOKUP(empresas_identificadas_complementadas[[#This Row],[cnpj]],empresas_filtradas[cnpj],empresas_filtradas[email])</f>
        <v>ATENDIMENTO@SAC.WHITEMARTINS.COM.BR</v>
      </c>
      <c r="Q192" t="str">
        <f>_xlfn.XLOOKUP(empresas_identificadas_complementadas[[#This Row],[cnpj]],empresas_filtradas!A:A,empresas_filtradas!M:M)</f>
        <v>Potencial Planta</v>
      </c>
    </row>
    <row r="193" spans="1:17" x14ac:dyDescent="0.25">
      <c r="A193">
        <v>17891872000190</v>
      </c>
      <c r="B193" t="s">
        <v>2</v>
      </c>
      <c r="C193" t="s">
        <v>751</v>
      </c>
      <c r="D193">
        <v>62674000</v>
      </c>
      <c r="E193" t="s">
        <v>108</v>
      </c>
      <c r="F193">
        <v>1549</v>
      </c>
      <c r="G193" t="s">
        <v>767</v>
      </c>
      <c r="H193" t="s">
        <v>768</v>
      </c>
      <c r="I193">
        <v>1.84</v>
      </c>
      <c r="J193">
        <v>-3.5486982999999999</v>
      </c>
      <c r="K193">
        <v>-38.827728499999999</v>
      </c>
      <c r="L193" t="s">
        <v>742</v>
      </c>
      <c r="M193" t="s">
        <v>893</v>
      </c>
      <c r="N193" t="s">
        <v>108</v>
      </c>
      <c r="P193" t="str">
        <f>_xlfn.XLOOKUP(empresas_identificadas_complementadas[[#This Row],[cnpj]],empresas_filtradas[cnpj],empresas_filtradas[email])</f>
        <v>ESPECIALISTA_FISCAL_CAMPO@LINDE.COM</v>
      </c>
      <c r="Q193" t="str">
        <f>_xlfn.XLOOKUP(empresas_identificadas_complementadas[[#This Row],[cnpj]],empresas_filtradas!A:A,empresas_filtradas!M:M)</f>
        <v>Potencial Planta</v>
      </c>
    </row>
    <row r="194" spans="1:17" x14ac:dyDescent="0.25">
      <c r="A194">
        <v>74481011000843</v>
      </c>
      <c r="B194" t="s">
        <v>2</v>
      </c>
      <c r="C194" t="s">
        <v>751</v>
      </c>
      <c r="D194">
        <v>92420360</v>
      </c>
      <c r="E194" t="s">
        <v>117</v>
      </c>
      <c r="F194">
        <v>8589</v>
      </c>
      <c r="G194" t="s">
        <v>804</v>
      </c>
      <c r="H194" t="s">
        <v>802</v>
      </c>
      <c r="I194">
        <v>1.1100000000000001</v>
      </c>
      <c r="J194">
        <v>-29.921604500000001</v>
      </c>
      <c r="K194">
        <v>-51.179952499999999</v>
      </c>
      <c r="L194" t="s">
        <v>742</v>
      </c>
      <c r="M194" t="s">
        <v>811</v>
      </c>
      <c r="N194" t="s">
        <v>117</v>
      </c>
      <c r="O194" t="s">
        <v>755</v>
      </c>
      <c r="P194" t="str">
        <f>_xlfn.XLOOKUP(empresas_identificadas_complementadas[[#This Row],[cnpj]],empresas_filtradas[cnpj],empresas_filtradas[email])</f>
        <v>LUCAS@IBG.COM.BR</v>
      </c>
      <c r="Q194" t="str">
        <f>_xlfn.XLOOKUP(empresas_identificadas_complementadas[[#This Row],[cnpj]],empresas_filtradas!A:A,empresas_filtradas!M:M)</f>
        <v>Relação</v>
      </c>
    </row>
    <row r="195" spans="1:17" x14ac:dyDescent="0.25">
      <c r="A195">
        <v>67423152001905</v>
      </c>
      <c r="B195" t="s">
        <v>2</v>
      </c>
      <c r="D195">
        <v>75132135</v>
      </c>
      <c r="E195" t="s">
        <v>173</v>
      </c>
      <c r="F195">
        <v>9221</v>
      </c>
      <c r="G195" t="s">
        <v>745</v>
      </c>
      <c r="H195" t="s">
        <v>746</v>
      </c>
      <c r="I195">
        <v>394.42</v>
      </c>
      <c r="J195">
        <v>-16.333282799999999</v>
      </c>
      <c r="K195">
        <v>-48.952575600000003</v>
      </c>
      <c r="L195" t="s">
        <v>742</v>
      </c>
      <c r="M195" t="s">
        <v>894</v>
      </c>
      <c r="N195" t="s">
        <v>173</v>
      </c>
      <c r="O195" t="s">
        <v>755</v>
      </c>
      <c r="P195" t="str">
        <f>_xlfn.XLOOKUP(empresas_identificadas_complementadas[[#This Row],[cnpj]],empresas_filtradas[cnpj],empresas_filtradas[email])</f>
        <v>IBG@IBG.COM.BR</v>
      </c>
      <c r="Q195" t="str">
        <f>_xlfn.XLOOKUP(empresas_identificadas_complementadas[[#This Row],[cnpj]],empresas_filtradas!A:A,empresas_filtradas!M:M)</f>
        <v>Relação</v>
      </c>
    </row>
    <row r="196" spans="1:17" x14ac:dyDescent="0.25">
      <c r="A196">
        <v>331788003053</v>
      </c>
      <c r="B196" t="s">
        <v>2</v>
      </c>
      <c r="C196" t="s">
        <v>744</v>
      </c>
      <c r="D196">
        <v>37701387</v>
      </c>
      <c r="E196" t="s">
        <v>17</v>
      </c>
      <c r="F196">
        <v>5035</v>
      </c>
      <c r="G196" t="s">
        <v>752</v>
      </c>
      <c r="H196" t="s">
        <v>753</v>
      </c>
      <c r="I196">
        <v>119.85</v>
      </c>
      <c r="J196">
        <v>-21.786004999999999</v>
      </c>
      <c r="K196">
        <v>-46.571915799999999</v>
      </c>
      <c r="L196" t="s">
        <v>742</v>
      </c>
      <c r="M196" t="s">
        <v>895</v>
      </c>
      <c r="N196" t="s">
        <v>17</v>
      </c>
      <c r="P196" t="str">
        <f>_xlfn.XLOOKUP(empresas_identificadas_complementadas[[#This Row],[cnpj]],empresas_filtradas[cnpj],empresas_filtradas[email])</f>
        <v>BRALB-PARALEGAL@AIRLIQUIDE.COM</v>
      </c>
      <c r="Q196" t="str">
        <f>_xlfn.XLOOKUP(empresas_identificadas_complementadas[[#This Row],[cnpj]],empresas_filtradas!A:A,empresas_filtradas!M:M)</f>
        <v>Não Planta</v>
      </c>
    </row>
    <row r="197" spans="1:17" x14ac:dyDescent="0.25">
      <c r="A197">
        <v>331788004025</v>
      </c>
      <c r="B197" t="s">
        <v>2</v>
      </c>
      <c r="C197" t="s">
        <v>739</v>
      </c>
      <c r="D197">
        <v>27977335</v>
      </c>
      <c r="E197" t="s">
        <v>27</v>
      </c>
      <c r="F197">
        <v>5847</v>
      </c>
      <c r="G197" t="s">
        <v>816</v>
      </c>
      <c r="H197" t="s">
        <v>817</v>
      </c>
      <c r="I197">
        <v>23.25</v>
      </c>
      <c r="J197">
        <v>-22.282830499999999</v>
      </c>
      <c r="K197">
        <v>-41.9649091</v>
      </c>
      <c r="L197" t="s">
        <v>742</v>
      </c>
      <c r="M197" t="s">
        <v>818</v>
      </c>
      <c r="N197" t="s">
        <v>27</v>
      </c>
      <c r="O197" t="s">
        <v>755</v>
      </c>
      <c r="P197" t="str">
        <f>_xlfn.XLOOKUP(empresas_identificadas_complementadas[[#This Row],[cnpj]],empresas_filtradas[cnpj],empresas_filtradas[email])</f>
        <v>BRALB-PARALEGAL@AIRLIQUIDE.COM</v>
      </c>
      <c r="Q197" t="str">
        <f>_xlfn.XLOOKUP(empresas_identificadas_complementadas[[#This Row],[cnpj]],empresas_filtradas!A:A,empresas_filtradas!M:M)</f>
        <v>Não Planta</v>
      </c>
    </row>
    <row r="198" spans="1:17" x14ac:dyDescent="0.25">
      <c r="A198">
        <v>24380578002556</v>
      </c>
      <c r="B198" t="s">
        <v>2</v>
      </c>
      <c r="C198" t="s">
        <v>744</v>
      </c>
      <c r="D198">
        <v>59146480</v>
      </c>
      <c r="E198" t="s">
        <v>71</v>
      </c>
      <c r="F198">
        <v>1779</v>
      </c>
      <c r="G198" t="s">
        <v>796</v>
      </c>
      <c r="H198" t="s">
        <v>768</v>
      </c>
      <c r="I198">
        <v>279.83999999999997</v>
      </c>
      <c r="J198">
        <v>-5.8988880000000004</v>
      </c>
      <c r="K198">
        <v>-35.258665999999998</v>
      </c>
      <c r="L198" t="s">
        <v>742</v>
      </c>
      <c r="M198" t="s">
        <v>896</v>
      </c>
      <c r="N198" t="s">
        <v>71</v>
      </c>
      <c r="P198" t="str">
        <f>_xlfn.XLOOKUP(empresas_identificadas_complementadas[[#This Row],[cnpj]],empresas_filtradas[cnpj],empresas_filtradas[email])</f>
        <v>VENUSIANA.SANTOS@LINDE.COM</v>
      </c>
      <c r="Q198" t="str">
        <f>_xlfn.XLOOKUP(empresas_identificadas_complementadas[[#This Row],[cnpj]],empresas_filtradas!A:A,empresas_filtradas!M:M)</f>
        <v>Não Planta</v>
      </c>
    </row>
    <row r="199" spans="1:17" x14ac:dyDescent="0.25">
      <c r="A199">
        <v>24380578004923</v>
      </c>
      <c r="B199" t="s">
        <v>2</v>
      </c>
      <c r="C199" t="s">
        <v>751</v>
      </c>
      <c r="D199">
        <v>61939120</v>
      </c>
      <c r="E199" t="s">
        <v>108</v>
      </c>
      <c r="F199">
        <v>1585</v>
      </c>
      <c r="G199" t="s">
        <v>767</v>
      </c>
      <c r="H199" t="s">
        <v>768</v>
      </c>
      <c r="I199">
        <v>41.95</v>
      </c>
      <c r="J199">
        <v>-3.8779438000000002</v>
      </c>
      <c r="K199">
        <v>-38.624769700000002</v>
      </c>
      <c r="L199" t="s">
        <v>742</v>
      </c>
      <c r="M199" t="s">
        <v>872</v>
      </c>
      <c r="N199" t="s">
        <v>108</v>
      </c>
      <c r="O199" t="s">
        <v>755</v>
      </c>
      <c r="P199" t="str">
        <f>_xlfn.XLOOKUP(empresas_identificadas_complementadas[[#This Row],[cnpj]],empresas_filtradas[cnpj],empresas_filtradas[email])</f>
        <v>ATENDIMENTO@SAC.WHITEMARTINS.COM.BR</v>
      </c>
      <c r="Q199" t="str">
        <f>_xlfn.XLOOKUP(empresas_identificadas_complementadas[[#This Row],[cnpj]],empresas_filtradas!A:A,empresas_filtradas!M:M)</f>
        <v>Potencial Planta</v>
      </c>
    </row>
    <row r="200" spans="1:17" x14ac:dyDescent="0.25">
      <c r="A200">
        <v>35820448016806</v>
      </c>
      <c r="B200" t="s">
        <v>2</v>
      </c>
      <c r="C200" t="s">
        <v>751</v>
      </c>
      <c r="D200">
        <v>11535200</v>
      </c>
      <c r="E200" t="s">
        <v>32</v>
      </c>
      <c r="F200">
        <v>6371</v>
      </c>
      <c r="G200" t="s">
        <v>775</v>
      </c>
      <c r="H200" t="s">
        <v>776</v>
      </c>
      <c r="I200">
        <v>1.64</v>
      </c>
      <c r="J200">
        <v>-23.884207700000001</v>
      </c>
      <c r="K200">
        <v>-46.421306100000002</v>
      </c>
      <c r="L200" t="s">
        <v>742</v>
      </c>
      <c r="M200" t="s">
        <v>777</v>
      </c>
      <c r="N200" t="s">
        <v>32</v>
      </c>
      <c r="O200" t="s">
        <v>755</v>
      </c>
      <c r="P200" t="str">
        <f>_xlfn.XLOOKUP(empresas_identificadas_complementadas[[#This Row],[cnpj]],empresas_filtradas[cnpj],empresas_filtradas[email])</f>
        <v>ATENDIMENTO@SAC.WHITEMARTINS.COM.BR</v>
      </c>
      <c r="Q200" t="str">
        <f>_xlfn.XLOOKUP(empresas_identificadas_complementadas[[#This Row],[cnpj]],empresas_filtradas!A:A,empresas_filtradas!M:M)</f>
        <v>Potencial Planta</v>
      </c>
    </row>
    <row r="201" spans="1:17" x14ac:dyDescent="0.25">
      <c r="A201">
        <v>43843358000865</v>
      </c>
      <c r="B201" t="s">
        <v>2</v>
      </c>
      <c r="C201" t="s">
        <v>751</v>
      </c>
      <c r="D201">
        <v>92703460</v>
      </c>
      <c r="E201" t="s">
        <v>117</v>
      </c>
      <c r="F201">
        <v>8685</v>
      </c>
      <c r="G201" t="s">
        <v>804</v>
      </c>
      <c r="H201" t="s">
        <v>802</v>
      </c>
      <c r="I201">
        <v>26.43</v>
      </c>
      <c r="J201">
        <v>-30.113073100000001</v>
      </c>
      <c r="K201">
        <v>-51.329442</v>
      </c>
      <c r="L201" t="s">
        <v>742</v>
      </c>
      <c r="M201" t="s">
        <v>868</v>
      </c>
      <c r="N201" t="s">
        <v>117</v>
      </c>
      <c r="O201" t="s">
        <v>755</v>
      </c>
      <c r="P201" t="str">
        <f>_xlfn.XLOOKUP(empresas_identificadas_complementadas[[#This Row],[cnpj]],empresas_filtradas[cnpj],empresas_filtradas[email])</f>
        <v>IMPNFE@AIRPRODUCTS.COM</v>
      </c>
      <c r="Q201" t="str">
        <f>_xlfn.XLOOKUP(empresas_identificadas_complementadas[[#This Row],[cnpj]],empresas_filtradas!A:A,empresas_filtradas!M:M)</f>
        <v>Potencial Planta</v>
      </c>
    </row>
    <row r="202" spans="1:17" x14ac:dyDescent="0.25">
      <c r="A202">
        <v>331788004297</v>
      </c>
      <c r="B202" t="s">
        <v>2</v>
      </c>
      <c r="C202" t="s">
        <v>751</v>
      </c>
      <c r="D202">
        <v>9154900</v>
      </c>
      <c r="E202" t="s">
        <v>32</v>
      </c>
      <c r="F202">
        <v>7057</v>
      </c>
      <c r="G202" t="s">
        <v>798</v>
      </c>
      <c r="H202" t="s">
        <v>799</v>
      </c>
      <c r="I202">
        <v>5.94</v>
      </c>
      <c r="J202">
        <v>-23.6533509</v>
      </c>
      <c r="K202">
        <v>-46.527903899999998</v>
      </c>
      <c r="L202" t="s">
        <v>742</v>
      </c>
      <c r="M202" t="s">
        <v>809</v>
      </c>
      <c r="N202" t="s">
        <v>32</v>
      </c>
      <c r="O202" t="s">
        <v>755</v>
      </c>
      <c r="P202" t="str">
        <f>_xlfn.XLOOKUP(empresas_identificadas_complementadas[[#This Row],[cnpj]],empresas_filtradas[cnpj],empresas_filtradas[email])</f>
        <v>BRALB-PARALEGAL@AIRLIQUIDE.COM</v>
      </c>
      <c r="Q202" t="str">
        <f>_xlfn.XLOOKUP(empresas_identificadas_complementadas[[#This Row],[cnpj]],empresas_filtradas!A:A,empresas_filtradas!M:M)</f>
        <v>Potencial Planta</v>
      </c>
    </row>
    <row r="203" spans="1:17" x14ac:dyDescent="0.25">
      <c r="A203">
        <v>60619202006502</v>
      </c>
      <c r="B203" t="s">
        <v>2</v>
      </c>
      <c r="C203" t="s">
        <v>751</v>
      </c>
      <c r="D203">
        <v>23565000</v>
      </c>
      <c r="E203" t="s">
        <v>27</v>
      </c>
      <c r="F203">
        <v>6001</v>
      </c>
      <c r="G203" t="s">
        <v>748</v>
      </c>
      <c r="H203" t="s">
        <v>749</v>
      </c>
      <c r="I203">
        <v>5.34</v>
      </c>
      <c r="J203">
        <v>-22.8890204</v>
      </c>
      <c r="K203">
        <v>-43.718752299999998</v>
      </c>
      <c r="L203" t="s">
        <v>742</v>
      </c>
      <c r="M203" t="s">
        <v>750</v>
      </c>
      <c r="N203" t="s">
        <v>27</v>
      </c>
      <c r="P203" t="str">
        <f>_xlfn.XLOOKUP(empresas_identificadas_complementadas[[#This Row],[cnpj]],empresas_filtradas[cnpj],empresas_filtradas[email])</f>
        <v>TAX.COMPLIANCE@MESSER-BR.COM</v>
      </c>
      <c r="Q203" t="str">
        <f>_xlfn.XLOOKUP(empresas_identificadas_complementadas[[#This Row],[cnpj]],empresas_filtradas!A:A,empresas_filtradas!M:M)</f>
        <v>Potencial Planta</v>
      </c>
    </row>
    <row r="204" spans="1:17" x14ac:dyDescent="0.25">
      <c r="A204">
        <v>67423152000410</v>
      </c>
      <c r="B204" t="s">
        <v>2</v>
      </c>
      <c r="C204" t="s">
        <v>739</v>
      </c>
      <c r="D204">
        <v>30664030</v>
      </c>
      <c r="E204" t="s">
        <v>17</v>
      </c>
      <c r="F204">
        <v>4123</v>
      </c>
      <c r="G204" t="s">
        <v>788</v>
      </c>
      <c r="H204" t="s">
        <v>789</v>
      </c>
      <c r="I204">
        <v>11</v>
      </c>
      <c r="J204">
        <v>-19.920829999999999</v>
      </c>
      <c r="K204">
        <v>-43.937779999999997</v>
      </c>
      <c r="L204" t="s">
        <v>864</v>
      </c>
      <c r="M204" t="s">
        <v>859</v>
      </c>
      <c r="N204" t="s">
        <v>17</v>
      </c>
      <c r="P204" t="str">
        <f>_xlfn.XLOOKUP(empresas_identificadas_complementadas[[#This Row],[cnpj]],empresas_filtradas[cnpj],empresas_filtradas[email])</f>
        <v>IBG04@IBG.COM.BR</v>
      </c>
      <c r="Q204" t="str">
        <f>_xlfn.XLOOKUP(empresas_identificadas_complementadas[[#This Row],[cnpj]],empresas_filtradas!A:A,empresas_filtradas!M:M)</f>
        <v>Relação</v>
      </c>
    </row>
    <row r="205" spans="1:17" x14ac:dyDescent="0.25">
      <c r="A205">
        <v>67423152000925</v>
      </c>
      <c r="B205" t="s">
        <v>2</v>
      </c>
      <c r="C205" t="s">
        <v>751</v>
      </c>
      <c r="D205">
        <v>29161418</v>
      </c>
      <c r="E205" t="s">
        <v>49</v>
      </c>
      <c r="F205">
        <v>5699</v>
      </c>
      <c r="G205" t="s">
        <v>778</v>
      </c>
      <c r="H205" t="s">
        <v>779</v>
      </c>
      <c r="I205">
        <v>14.74</v>
      </c>
      <c r="J205">
        <v>-20.1252961</v>
      </c>
      <c r="K205">
        <v>-40.3064477</v>
      </c>
      <c r="L205" t="s">
        <v>742</v>
      </c>
      <c r="M205" t="s">
        <v>844</v>
      </c>
      <c r="N205" t="s">
        <v>49</v>
      </c>
      <c r="O205" t="s">
        <v>755</v>
      </c>
      <c r="P205" t="str">
        <f>_xlfn.XLOOKUP(empresas_identificadas_complementadas[[#This Row],[cnpj]],empresas_filtradas[cnpj],empresas_filtradas[email])</f>
        <v>ibg9@ibg.com.br</v>
      </c>
      <c r="Q205" t="str">
        <f>_xlfn.XLOOKUP(empresas_identificadas_complementadas[[#This Row],[cnpj]],empresas_filtradas!A:A,empresas_filtradas!M:M)</f>
        <v>Relação</v>
      </c>
    </row>
    <row r="206" spans="1:17" x14ac:dyDescent="0.25">
      <c r="A206">
        <v>72819618000199</v>
      </c>
      <c r="B206" t="s">
        <v>2</v>
      </c>
      <c r="C206" t="s">
        <v>751</v>
      </c>
      <c r="D206">
        <v>9852070</v>
      </c>
      <c r="E206" t="s">
        <v>32</v>
      </c>
      <c r="F206">
        <v>7075</v>
      </c>
      <c r="G206" t="s">
        <v>798</v>
      </c>
      <c r="H206" t="s">
        <v>799</v>
      </c>
      <c r="I206">
        <v>9.8000000000000007</v>
      </c>
      <c r="J206">
        <v>-23.7080345</v>
      </c>
      <c r="K206">
        <v>-46.550674700000002</v>
      </c>
      <c r="L206" t="s">
        <v>742</v>
      </c>
      <c r="M206" t="s">
        <v>897</v>
      </c>
      <c r="N206" t="s">
        <v>32</v>
      </c>
      <c r="O206" t="s">
        <v>755</v>
      </c>
      <c r="P206" t="str">
        <f>_xlfn.XLOOKUP(empresas_identificadas_complementadas[[#This Row],[cnpj]],empresas_filtradas[cnpj],empresas_filtradas[email])</f>
        <v>LG.BR.QUALIDADEGAMAGASES@LINDE.COM</v>
      </c>
      <c r="Q206" t="str">
        <f>_xlfn.XLOOKUP(empresas_identificadas_complementadas[[#This Row],[cnpj]],empresas_filtradas!A:A,empresas_filtradas!M:M)</f>
        <v>Potencial Planta</v>
      </c>
    </row>
    <row r="207" spans="1:17" x14ac:dyDescent="0.25">
      <c r="A207">
        <v>35820448010522</v>
      </c>
      <c r="B207" t="s">
        <v>2</v>
      </c>
      <c r="C207" t="s">
        <v>751</v>
      </c>
      <c r="D207">
        <v>12283510</v>
      </c>
      <c r="E207" t="s">
        <v>32</v>
      </c>
      <c r="F207">
        <v>6271</v>
      </c>
      <c r="G207" t="s">
        <v>793</v>
      </c>
      <c r="H207" t="s">
        <v>794</v>
      </c>
      <c r="I207">
        <v>34.86</v>
      </c>
      <c r="J207">
        <v>-23.099204</v>
      </c>
      <c r="K207">
        <v>-45.707644999999999</v>
      </c>
      <c r="L207" t="s">
        <v>742</v>
      </c>
      <c r="M207" t="s">
        <v>898</v>
      </c>
      <c r="N207" t="s">
        <v>32</v>
      </c>
      <c r="O207" t="s">
        <v>755</v>
      </c>
      <c r="P207" t="str">
        <f>_xlfn.XLOOKUP(empresas_identificadas_complementadas[[#This Row],[cnpj]],empresas_filtradas[cnpj],empresas_filtradas[email])</f>
        <v>ATENDIMENTO@SAC.WHITEMARTINS.COM.BR</v>
      </c>
      <c r="Q207" t="str">
        <f>_xlfn.XLOOKUP(empresas_identificadas_complementadas[[#This Row],[cnpj]],empresas_filtradas!A:A,empresas_filtradas!M:M)</f>
        <v>Potencial Planta</v>
      </c>
    </row>
    <row r="208" spans="1:17" x14ac:dyDescent="0.25">
      <c r="A208">
        <v>60619202005107</v>
      </c>
      <c r="B208" t="s">
        <v>2</v>
      </c>
      <c r="C208" t="s">
        <v>744</v>
      </c>
      <c r="D208">
        <v>89015400</v>
      </c>
      <c r="E208" t="s">
        <v>65</v>
      </c>
      <c r="F208">
        <v>8047</v>
      </c>
      <c r="G208" t="s">
        <v>801</v>
      </c>
      <c r="H208" t="s">
        <v>802</v>
      </c>
      <c r="I208">
        <v>150.81</v>
      </c>
      <c r="J208">
        <v>-26.9025778</v>
      </c>
      <c r="K208">
        <v>-49.035465100000003</v>
      </c>
      <c r="L208" t="s">
        <v>742</v>
      </c>
      <c r="M208" t="s">
        <v>899</v>
      </c>
      <c r="N208" t="s">
        <v>65</v>
      </c>
      <c r="P208" t="str">
        <f>_xlfn.XLOOKUP(empresas_identificadas_complementadas[[#This Row],[cnpj]],empresas_filtradas[cnpj],empresas_filtradas[email])</f>
        <v>TAX.COMPLIANCE@MESSER-BR.COM</v>
      </c>
      <c r="Q208" t="str">
        <f>_xlfn.XLOOKUP(empresas_identificadas_complementadas[[#This Row],[cnpj]],empresas_filtradas!A:A,empresas_filtradas!M:M)</f>
        <v>Não Planta</v>
      </c>
    </row>
    <row r="209" spans="1:17" x14ac:dyDescent="0.25">
      <c r="A209">
        <v>331788005501</v>
      </c>
      <c r="B209" t="s">
        <v>2</v>
      </c>
      <c r="C209" t="s">
        <v>751</v>
      </c>
      <c r="D209">
        <v>95720000</v>
      </c>
      <c r="E209" t="s">
        <v>117</v>
      </c>
      <c r="F209">
        <v>8669</v>
      </c>
      <c r="G209" t="s">
        <v>771</v>
      </c>
      <c r="H209" t="s">
        <v>760</v>
      </c>
      <c r="I209">
        <v>70.010000000000005</v>
      </c>
      <c r="J209">
        <v>-29.256225300000001</v>
      </c>
      <c r="K209">
        <v>-51.526916700000001</v>
      </c>
      <c r="L209" t="s">
        <v>742</v>
      </c>
      <c r="M209" t="s">
        <v>900</v>
      </c>
      <c r="N209" t="s">
        <v>117</v>
      </c>
      <c r="P209" t="str">
        <f>_xlfn.XLOOKUP(empresas_identificadas_complementadas[[#This Row],[cnpj]],empresas_filtradas[cnpj],empresas_filtradas[email])</f>
        <v>BRALB-PARALEGAL@AIRLIQUIDE.COM</v>
      </c>
      <c r="Q209" t="str">
        <f>_xlfn.XLOOKUP(empresas_identificadas_complementadas[[#This Row],[cnpj]],empresas_filtradas!A:A,empresas_filtradas!M:M)</f>
        <v>Potencial Planta</v>
      </c>
    </row>
    <row r="210" spans="1:17" x14ac:dyDescent="0.25">
      <c r="A210">
        <v>331788006583</v>
      </c>
      <c r="B210" t="s">
        <v>2</v>
      </c>
      <c r="C210" t="s">
        <v>744</v>
      </c>
      <c r="D210">
        <v>97060485</v>
      </c>
      <c r="E210" t="s">
        <v>117</v>
      </c>
      <c r="F210">
        <v>8841</v>
      </c>
      <c r="G210" t="s">
        <v>771</v>
      </c>
      <c r="H210" t="s">
        <v>760</v>
      </c>
      <c r="I210">
        <v>234.44</v>
      </c>
      <c r="J210">
        <v>-29.686051200000001</v>
      </c>
      <c r="K210">
        <v>-53.8069214</v>
      </c>
      <c r="L210" t="s">
        <v>742</v>
      </c>
      <c r="M210" t="s">
        <v>901</v>
      </c>
      <c r="N210" t="s">
        <v>117</v>
      </c>
      <c r="O210" t="s">
        <v>755</v>
      </c>
      <c r="P210" t="str">
        <f>_xlfn.XLOOKUP(empresas_identificadas_complementadas[[#This Row],[cnpj]],empresas_filtradas[cnpj],empresas_filtradas[email])</f>
        <v>BRALB-PARALEGAL@AIRLIQUIDE.COM</v>
      </c>
      <c r="Q210" t="str">
        <f>_xlfn.XLOOKUP(empresas_identificadas_complementadas[[#This Row],[cnpj]],empresas_filtradas!A:A,empresas_filtradas!M:M)</f>
        <v>Não Planta</v>
      </c>
    </row>
    <row r="211" spans="1:17" x14ac:dyDescent="0.25">
      <c r="A211">
        <v>331788006664</v>
      </c>
      <c r="B211" t="s">
        <v>2</v>
      </c>
      <c r="C211" t="s">
        <v>751</v>
      </c>
      <c r="D211">
        <v>35450000</v>
      </c>
      <c r="E211" t="s">
        <v>17</v>
      </c>
      <c r="F211">
        <v>4637</v>
      </c>
      <c r="G211" t="s">
        <v>856</v>
      </c>
      <c r="H211" t="s">
        <v>749</v>
      </c>
      <c r="I211">
        <v>31.18</v>
      </c>
      <c r="J211">
        <v>-20.266011500000001</v>
      </c>
      <c r="K211">
        <v>-43.808035500000003</v>
      </c>
      <c r="L211" t="s">
        <v>742</v>
      </c>
      <c r="P211" t="str">
        <f>_xlfn.XLOOKUP(empresas_identificadas_complementadas[[#This Row],[cnpj]],empresas_filtradas[cnpj],empresas_filtradas[email])</f>
        <v>BRALB-PARALEGAL@AIRLIQUIDE.COM</v>
      </c>
      <c r="Q211" t="str">
        <f>_xlfn.XLOOKUP(empresas_identificadas_complementadas[[#This Row],[cnpj]],empresas_filtradas!A:A,empresas_filtradas!M:M)</f>
        <v>Potencial Planta</v>
      </c>
    </row>
    <row r="212" spans="1:17" x14ac:dyDescent="0.25">
      <c r="A212">
        <v>24380578006705</v>
      </c>
      <c r="B212" t="s">
        <v>2</v>
      </c>
      <c r="C212" t="s">
        <v>744</v>
      </c>
      <c r="D212">
        <v>42810340</v>
      </c>
      <c r="E212" t="s">
        <v>60</v>
      </c>
      <c r="F212">
        <v>3413</v>
      </c>
      <c r="P212" t="str">
        <f>_xlfn.XLOOKUP(empresas_identificadas_complementadas[[#This Row],[cnpj]],empresas_filtradas[cnpj],empresas_filtradas[email])</f>
        <v>ATENDIMENTO@SAC.WHITEMARTINS.COM.BR</v>
      </c>
      <c r="Q212" t="str">
        <f>_xlfn.XLOOKUP(empresas_identificadas_complementadas[[#This Row],[cnpj]],empresas_filtradas!A:A,empresas_filtradas!M:M)</f>
        <v>Não Planta</v>
      </c>
    </row>
    <row r="213" spans="1:17" x14ac:dyDescent="0.25">
      <c r="A213">
        <v>331788004610</v>
      </c>
      <c r="B213" t="s">
        <v>2</v>
      </c>
      <c r="C213" t="s">
        <v>751</v>
      </c>
      <c r="D213">
        <v>29168080</v>
      </c>
      <c r="E213" t="s">
        <v>49</v>
      </c>
      <c r="F213">
        <v>5699</v>
      </c>
      <c r="G213" t="s">
        <v>778</v>
      </c>
      <c r="H213" t="s">
        <v>779</v>
      </c>
      <c r="I213">
        <v>8.4700000000000006</v>
      </c>
      <c r="J213">
        <v>-20.181763</v>
      </c>
      <c r="K213">
        <v>-40.233631600000002</v>
      </c>
      <c r="L213" t="s">
        <v>742</v>
      </c>
      <c r="M213" t="s">
        <v>844</v>
      </c>
      <c r="N213" t="s">
        <v>49</v>
      </c>
      <c r="P213" t="str">
        <f>_xlfn.XLOOKUP(empresas_identificadas_complementadas[[#This Row],[cnpj]],empresas_filtradas[cnpj],empresas_filtradas[email])</f>
        <v>BRALB-PARALEGAL@AIRLIQUIDE.COM</v>
      </c>
      <c r="Q213" t="str">
        <f>_xlfn.XLOOKUP(empresas_identificadas_complementadas[[#This Row],[cnpj]],empresas_filtradas!A:A,empresas_filtradas!M:M)</f>
        <v>Potencial Planta</v>
      </c>
    </row>
    <row r="214" spans="1:17" x14ac:dyDescent="0.25">
      <c r="A214">
        <v>43843358003538</v>
      </c>
      <c r="B214" t="s">
        <v>2</v>
      </c>
      <c r="C214" t="s">
        <v>744</v>
      </c>
      <c r="D214">
        <v>88830000</v>
      </c>
      <c r="E214" t="s">
        <v>65</v>
      </c>
      <c r="F214">
        <v>8219</v>
      </c>
      <c r="G214" t="s">
        <v>804</v>
      </c>
      <c r="H214" t="s">
        <v>802</v>
      </c>
      <c r="I214">
        <v>236.14</v>
      </c>
      <c r="J214">
        <v>-28.657715400000001</v>
      </c>
      <c r="K214">
        <v>-49.2181468</v>
      </c>
      <c r="L214" t="s">
        <v>742</v>
      </c>
      <c r="P214" t="str">
        <f>_xlfn.XLOOKUP(empresas_identificadas_complementadas[[#This Row],[cnpj]],empresas_filtradas[cnpj],empresas_filtradas[email])</f>
        <v>IMPNFE@AIRPRODUCTS.COM</v>
      </c>
      <c r="Q214" t="str">
        <f>_xlfn.XLOOKUP(empresas_identificadas_complementadas[[#This Row],[cnpj]],empresas_filtradas!A:A,empresas_filtradas!M:M)</f>
        <v>Potencial Planta</v>
      </c>
    </row>
    <row r="215" spans="1:17" x14ac:dyDescent="0.25">
      <c r="A215">
        <v>62505841000108</v>
      </c>
      <c r="B215" t="s">
        <v>2</v>
      </c>
      <c r="D215">
        <v>65071745</v>
      </c>
      <c r="E215" t="s">
        <v>56</v>
      </c>
      <c r="F215">
        <v>921</v>
      </c>
      <c r="G215" t="s">
        <v>784</v>
      </c>
      <c r="H215" t="s">
        <v>785</v>
      </c>
      <c r="I215">
        <v>511.01</v>
      </c>
      <c r="J215">
        <v>-2.4870062000000002</v>
      </c>
      <c r="K215">
        <v>-44.245891399999998</v>
      </c>
      <c r="L215" t="s">
        <v>742</v>
      </c>
      <c r="M215" t="s">
        <v>902</v>
      </c>
      <c r="N215" t="s">
        <v>56</v>
      </c>
      <c r="P215" t="str">
        <f>_xlfn.XLOOKUP(empresas_identificadas_complementadas[[#This Row],[cnpj]],empresas_filtradas[cnpj],empresas_filtradas[email])</f>
        <v>INFO@GEP-GLOBAL.COM</v>
      </c>
      <c r="Q215" t="str">
        <f>_xlfn.XLOOKUP(empresas_identificadas_complementadas[[#This Row],[cnpj]],empresas_filtradas!A:A,empresas_filtradas!M:M)</f>
        <v>Conceito de Planta</v>
      </c>
    </row>
    <row r="216" spans="1:17" x14ac:dyDescent="0.25">
      <c r="A216">
        <v>60619202001462</v>
      </c>
      <c r="B216" t="s">
        <v>2</v>
      </c>
      <c r="C216" t="s">
        <v>751</v>
      </c>
      <c r="D216">
        <v>61939120</v>
      </c>
      <c r="E216" t="s">
        <v>108</v>
      </c>
      <c r="F216">
        <v>1585</v>
      </c>
      <c r="G216" t="s">
        <v>767</v>
      </c>
      <c r="H216" t="s">
        <v>768</v>
      </c>
      <c r="I216">
        <v>41.95</v>
      </c>
      <c r="J216">
        <v>-3.8779438000000002</v>
      </c>
      <c r="K216">
        <v>-38.624769700000002</v>
      </c>
      <c r="L216" t="s">
        <v>742</v>
      </c>
      <c r="M216" t="s">
        <v>872</v>
      </c>
      <c r="N216" t="s">
        <v>108</v>
      </c>
      <c r="O216" t="s">
        <v>755</v>
      </c>
      <c r="P216" t="str">
        <f>_xlfn.XLOOKUP(empresas_identificadas_complementadas[[#This Row],[cnpj]],empresas_filtradas[cnpj],empresas_filtradas[email])</f>
        <v>TAX.COMPLIANCE@MESSER-BR.COM</v>
      </c>
      <c r="Q216" t="str">
        <f>_xlfn.XLOOKUP(empresas_identificadas_complementadas[[#This Row],[cnpj]],empresas_filtradas!A:A,empresas_filtradas!M:M)</f>
        <v>Potencial Planta</v>
      </c>
    </row>
    <row r="217" spans="1:17" x14ac:dyDescent="0.25">
      <c r="A217">
        <v>331788001867</v>
      </c>
      <c r="B217" t="s">
        <v>2</v>
      </c>
      <c r="C217" t="s">
        <v>751</v>
      </c>
      <c r="D217">
        <v>13148000</v>
      </c>
      <c r="E217" t="s">
        <v>32</v>
      </c>
      <c r="F217">
        <v>6831</v>
      </c>
      <c r="G217" t="s">
        <v>752</v>
      </c>
      <c r="H217" t="s">
        <v>753</v>
      </c>
      <c r="I217">
        <v>3.43</v>
      </c>
      <c r="J217">
        <v>-22.757668899999999</v>
      </c>
      <c r="K217">
        <v>-47.128700799999997</v>
      </c>
      <c r="L217" t="s">
        <v>742</v>
      </c>
      <c r="M217" t="s">
        <v>825</v>
      </c>
      <c r="N217" t="s">
        <v>32</v>
      </c>
      <c r="P217" t="str">
        <f>_xlfn.XLOOKUP(empresas_identificadas_complementadas[[#This Row],[cnpj]],empresas_filtradas[cnpj],empresas_filtradas[email])</f>
        <v>BRALB-PARALEGAL@AIRLIQUIDE.COM</v>
      </c>
      <c r="Q217" t="str">
        <f>_xlfn.XLOOKUP(empresas_identificadas_complementadas[[#This Row],[cnpj]],empresas_filtradas!A:A,empresas_filtradas!M:M)</f>
        <v>Planta</v>
      </c>
    </row>
    <row r="218" spans="1:17" x14ac:dyDescent="0.25">
      <c r="A218">
        <v>35820448018345</v>
      </c>
      <c r="B218" t="s">
        <v>2</v>
      </c>
      <c r="C218" t="s">
        <v>744</v>
      </c>
      <c r="D218">
        <v>88390000</v>
      </c>
      <c r="E218" t="s">
        <v>65</v>
      </c>
      <c r="F218">
        <v>8041</v>
      </c>
      <c r="G218" t="s">
        <v>801</v>
      </c>
      <c r="H218" t="s">
        <v>802</v>
      </c>
      <c r="I218">
        <v>136.85</v>
      </c>
      <c r="J218">
        <v>-26.6338203</v>
      </c>
      <c r="K218">
        <v>-48.683500100000003</v>
      </c>
      <c r="L218" t="s">
        <v>742</v>
      </c>
      <c r="M218" t="s">
        <v>824</v>
      </c>
      <c r="N218" t="s">
        <v>65</v>
      </c>
      <c r="P218" t="str">
        <f>_xlfn.XLOOKUP(empresas_identificadas_complementadas[[#This Row],[cnpj]],empresas_filtradas[cnpj],empresas_filtradas[email])</f>
        <v>ATENDIMENTO@SAC.WHITEMARTINS.COM.BR</v>
      </c>
      <c r="Q218" t="str">
        <f>_xlfn.XLOOKUP(empresas_identificadas_complementadas[[#This Row],[cnpj]],empresas_filtradas!A:A,empresas_filtradas!M:M)</f>
        <v>Não Planta</v>
      </c>
    </row>
    <row r="219" spans="1:17" x14ac:dyDescent="0.25">
      <c r="A219">
        <v>35820448000721</v>
      </c>
      <c r="B219" t="s">
        <v>2</v>
      </c>
      <c r="C219" t="s">
        <v>751</v>
      </c>
      <c r="D219">
        <v>25225170</v>
      </c>
      <c r="E219" t="s">
        <v>27</v>
      </c>
      <c r="F219">
        <v>5833</v>
      </c>
      <c r="G219" t="s">
        <v>765</v>
      </c>
      <c r="H219" t="s">
        <v>753</v>
      </c>
      <c r="I219">
        <v>8.64</v>
      </c>
      <c r="J219">
        <v>-22.7896225</v>
      </c>
      <c r="K219">
        <v>-43.309928999999997</v>
      </c>
      <c r="L219" t="s">
        <v>742</v>
      </c>
      <c r="M219" t="s">
        <v>875</v>
      </c>
      <c r="N219" t="s">
        <v>27</v>
      </c>
      <c r="O219" t="s">
        <v>755</v>
      </c>
      <c r="P219" t="str">
        <f>_xlfn.XLOOKUP(empresas_identificadas_complementadas[[#This Row],[cnpj]],empresas_filtradas[cnpj],empresas_filtradas[email])</f>
        <v>ATENDIMENTO@SAC.WHITEMARTINS.COM.BR</v>
      </c>
      <c r="Q219" t="str">
        <f>_xlfn.XLOOKUP(empresas_identificadas_complementadas[[#This Row],[cnpj]],empresas_filtradas!A:A,empresas_filtradas!M:M)</f>
        <v>Potencial Planta</v>
      </c>
    </row>
    <row r="220" spans="1:17" x14ac:dyDescent="0.25">
      <c r="A220">
        <v>35820448004395</v>
      </c>
      <c r="B220" t="s">
        <v>2</v>
      </c>
      <c r="C220" t="s">
        <v>744</v>
      </c>
      <c r="D220">
        <v>35502287</v>
      </c>
      <c r="E220" t="s">
        <v>17</v>
      </c>
      <c r="F220">
        <v>4445</v>
      </c>
      <c r="G220" t="s">
        <v>788</v>
      </c>
      <c r="H220" t="s">
        <v>789</v>
      </c>
      <c r="I220">
        <v>87.42</v>
      </c>
      <c r="J220">
        <v>-20.124745699999998</v>
      </c>
      <c r="K220">
        <v>-44.839167400000001</v>
      </c>
      <c r="L220" t="s">
        <v>742</v>
      </c>
      <c r="M220" t="s">
        <v>866</v>
      </c>
      <c r="N220" t="s">
        <v>17</v>
      </c>
      <c r="P220" t="str">
        <f>_xlfn.XLOOKUP(empresas_identificadas_complementadas[[#This Row],[cnpj]],empresas_filtradas[cnpj],empresas_filtradas[email])</f>
        <v>ATENDIMENTO@SAC.WHITEMARTINS.COM.BR</v>
      </c>
      <c r="Q220" t="str">
        <f>_xlfn.XLOOKUP(empresas_identificadas_complementadas[[#This Row],[cnpj]],empresas_filtradas!A:A,empresas_filtradas!M:M)</f>
        <v>Não Planta</v>
      </c>
    </row>
    <row r="221" spans="1:17" x14ac:dyDescent="0.25">
      <c r="A221">
        <v>43843358000350</v>
      </c>
      <c r="B221" t="s">
        <v>2</v>
      </c>
      <c r="C221" t="s">
        <v>751</v>
      </c>
      <c r="D221">
        <v>8770030</v>
      </c>
      <c r="E221" t="s">
        <v>32</v>
      </c>
      <c r="F221">
        <v>6713</v>
      </c>
      <c r="G221" t="s">
        <v>798</v>
      </c>
      <c r="H221" t="s">
        <v>799</v>
      </c>
      <c r="I221">
        <v>31.02</v>
      </c>
      <c r="J221">
        <v>-23.521387900000001</v>
      </c>
      <c r="K221">
        <v>-46.205824399999997</v>
      </c>
      <c r="L221" t="s">
        <v>742</v>
      </c>
      <c r="M221" t="s">
        <v>903</v>
      </c>
      <c r="N221" t="s">
        <v>32</v>
      </c>
      <c r="P221" t="str">
        <f>_xlfn.XLOOKUP(empresas_identificadas_complementadas[[#This Row],[cnpj]],empresas_filtradas[cnpj],empresas_filtradas[email])</f>
        <v>IMPNFE@AIRPRODUCTS.COM</v>
      </c>
      <c r="Q221" t="str">
        <f>_xlfn.XLOOKUP(empresas_identificadas_complementadas[[#This Row],[cnpj]],empresas_filtradas!A:A,empresas_filtradas!M:M)</f>
        <v>Potencial Planta</v>
      </c>
    </row>
    <row r="222" spans="1:17" x14ac:dyDescent="0.25">
      <c r="A222">
        <v>60619202004135</v>
      </c>
      <c r="B222" t="s">
        <v>2</v>
      </c>
      <c r="C222" t="s">
        <v>744</v>
      </c>
      <c r="D222">
        <v>86191345</v>
      </c>
      <c r="E222" t="s">
        <v>45</v>
      </c>
      <c r="F222">
        <v>7471</v>
      </c>
      <c r="G222" t="s">
        <v>801</v>
      </c>
      <c r="H222" t="s">
        <v>802</v>
      </c>
      <c r="I222">
        <v>319.18</v>
      </c>
      <c r="J222">
        <v>-23.2782035</v>
      </c>
      <c r="K222">
        <v>-51.277958300000002</v>
      </c>
      <c r="L222" t="s">
        <v>742</v>
      </c>
      <c r="M222" t="s">
        <v>904</v>
      </c>
      <c r="N222" t="s">
        <v>45</v>
      </c>
      <c r="O222" t="s">
        <v>755</v>
      </c>
      <c r="P222" t="str">
        <f>_xlfn.XLOOKUP(empresas_identificadas_complementadas[[#This Row],[cnpj]],empresas_filtradas[cnpj],empresas_filtradas[email])</f>
        <v>TAX.COMPLIANCE@MESSER-BR.COM</v>
      </c>
      <c r="Q222" t="str">
        <f>_xlfn.XLOOKUP(empresas_identificadas_complementadas[[#This Row],[cnpj]],empresas_filtradas!A:A,empresas_filtradas!M:M)</f>
        <v>Não Planta</v>
      </c>
    </row>
    <row r="223" spans="1:17" x14ac:dyDescent="0.25">
      <c r="A223">
        <v>60619202004992</v>
      </c>
      <c r="B223" t="s">
        <v>2</v>
      </c>
      <c r="C223" t="s">
        <v>744</v>
      </c>
      <c r="D223">
        <v>74984323</v>
      </c>
      <c r="E223" t="s">
        <v>173</v>
      </c>
      <c r="F223">
        <v>9227</v>
      </c>
      <c r="G223" t="s">
        <v>745</v>
      </c>
      <c r="H223" t="s">
        <v>746</v>
      </c>
      <c r="I223">
        <v>353.2</v>
      </c>
      <c r="J223">
        <v>-16.822676900000001</v>
      </c>
      <c r="K223">
        <v>-49.245254600000003</v>
      </c>
      <c r="L223" t="s">
        <v>742</v>
      </c>
      <c r="M223" t="s">
        <v>832</v>
      </c>
      <c r="N223" t="s">
        <v>173</v>
      </c>
      <c r="O223" t="s">
        <v>755</v>
      </c>
      <c r="P223" t="str">
        <f>_xlfn.XLOOKUP(empresas_identificadas_complementadas[[#This Row],[cnpj]],empresas_filtradas[cnpj],empresas_filtradas[email])</f>
        <v>TAX.COMPLIANCE@MESSER-BR.COM</v>
      </c>
      <c r="Q223" t="str">
        <f>_xlfn.XLOOKUP(empresas_identificadas_complementadas[[#This Row],[cnpj]],empresas_filtradas!A:A,empresas_filtradas!M:M)</f>
        <v>Não Planta</v>
      </c>
    </row>
    <row r="224" spans="1:17" x14ac:dyDescent="0.25">
      <c r="A224">
        <v>67423152001220</v>
      </c>
      <c r="B224" t="s">
        <v>2</v>
      </c>
      <c r="C224" t="s">
        <v>744</v>
      </c>
      <c r="D224">
        <v>74993535</v>
      </c>
      <c r="E224" t="s">
        <v>173</v>
      </c>
      <c r="F224">
        <v>9227</v>
      </c>
      <c r="G224" t="s">
        <v>745</v>
      </c>
      <c r="H224" t="s">
        <v>746</v>
      </c>
      <c r="I224">
        <v>353.2</v>
      </c>
      <c r="J224">
        <v>-16.822676900000001</v>
      </c>
      <c r="K224">
        <v>-49.245254600000003</v>
      </c>
      <c r="L224" t="s">
        <v>742</v>
      </c>
      <c r="M224" t="s">
        <v>832</v>
      </c>
      <c r="N224" t="s">
        <v>173</v>
      </c>
      <c r="O224" t="s">
        <v>755</v>
      </c>
      <c r="P224" t="str">
        <f>_xlfn.XLOOKUP(empresas_identificadas_complementadas[[#This Row],[cnpj]],empresas_filtradas[cnpj],empresas_filtradas[email])</f>
        <v>NEWTON@IBG.COM.BR</v>
      </c>
      <c r="Q224" t="str">
        <f>_xlfn.XLOOKUP(empresas_identificadas_complementadas[[#This Row],[cnpj]],empresas_filtradas!A:A,empresas_filtradas!M:M)</f>
        <v>Relação</v>
      </c>
    </row>
    <row r="225" spans="1:17" x14ac:dyDescent="0.25">
      <c r="A225">
        <v>35820448004557</v>
      </c>
      <c r="B225" t="s">
        <v>3</v>
      </c>
      <c r="C225" t="s">
        <v>751</v>
      </c>
      <c r="D225">
        <v>35970000</v>
      </c>
      <c r="E225" t="s">
        <v>17</v>
      </c>
      <c r="F225">
        <v>4107</v>
      </c>
      <c r="G225" t="s">
        <v>850</v>
      </c>
      <c r="H225" t="s">
        <v>749</v>
      </c>
      <c r="I225">
        <v>36.03</v>
      </c>
      <c r="J225">
        <v>-19.945243699999999</v>
      </c>
      <c r="K225">
        <v>-43.487029800000002</v>
      </c>
      <c r="L225" t="s">
        <v>742</v>
      </c>
      <c r="M225" t="s">
        <v>905</v>
      </c>
      <c r="N225" t="s">
        <v>17</v>
      </c>
      <c r="P225" t="str">
        <f>_xlfn.XLOOKUP(empresas_identificadas_complementadas[[#This Row],[cnpj]],empresas_filtradas[cnpj],empresas_filtradas[email])</f>
        <v>WHITEMARTINS</v>
      </c>
      <c r="Q225" t="str">
        <f>_xlfn.XLOOKUP(empresas_identificadas_complementadas[[#This Row],[cnpj]],empresas_filtradas!A:A,empresas_filtradas!M:M)</f>
        <v>Potencial Planta</v>
      </c>
    </row>
    <row r="226" spans="1:17" x14ac:dyDescent="0.25">
      <c r="A226">
        <v>8892204000196</v>
      </c>
      <c r="B226" t="s">
        <v>2</v>
      </c>
      <c r="C226" t="s">
        <v>739</v>
      </c>
      <c r="D226">
        <v>20921392</v>
      </c>
      <c r="E226" t="s">
        <v>27</v>
      </c>
      <c r="F226">
        <v>6001</v>
      </c>
      <c r="G226" t="s">
        <v>765</v>
      </c>
      <c r="H226" t="s">
        <v>753</v>
      </c>
      <c r="I226">
        <v>20.14</v>
      </c>
      <c r="J226">
        <v>-22.895799799999999</v>
      </c>
      <c r="K226">
        <v>-43.2258396</v>
      </c>
      <c r="L226" t="s">
        <v>742</v>
      </c>
      <c r="M226" t="s">
        <v>750</v>
      </c>
      <c r="N226" t="s">
        <v>27</v>
      </c>
      <c r="P226" t="str">
        <f>_xlfn.XLOOKUP(empresas_identificadas_complementadas[[#This Row],[cnpj]],empresas_filtradas[cnpj],empresas_filtradas[email])</f>
        <v>NFE.ENTRADA@RECIGASES.COM</v>
      </c>
      <c r="Q226" t="str">
        <f>_xlfn.XLOOKUP(empresas_identificadas_complementadas[[#This Row],[cnpj]],empresas_filtradas!A:A,empresas_filtradas!M:M)</f>
        <v>Sem Relação</v>
      </c>
    </row>
    <row r="227" spans="1:17" x14ac:dyDescent="0.25">
      <c r="A227">
        <v>10911087000102</v>
      </c>
      <c r="B227" t="s">
        <v>4</v>
      </c>
      <c r="C227" t="s">
        <v>739</v>
      </c>
      <c r="D227">
        <v>13183660</v>
      </c>
      <c r="E227" t="s">
        <v>32</v>
      </c>
      <c r="F227">
        <v>2951</v>
      </c>
      <c r="G227" t="s">
        <v>752</v>
      </c>
      <c r="H227" t="s">
        <v>753</v>
      </c>
      <c r="I227">
        <v>14.92</v>
      </c>
      <c r="J227">
        <v>-22.845822299999998</v>
      </c>
      <c r="K227">
        <v>-47.207699699999999</v>
      </c>
      <c r="L227" t="s">
        <v>742</v>
      </c>
      <c r="M227" t="s">
        <v>906</v>
      </c>
      <c r="N227" t="s">
        <v>32</v>
      </c>
      <c r="P227" t="str">
        <f>_xlfn.XLOOKUP(empresas_identificadas_complementadas[[#This Row],[cnpj]],empresas_filtradas[cnpj],empresas_filtradas[email])</f>
        <v>HORTOOXI@GMAIL.COM</v>
      </c>
      <c r="Q227" t="str">
        <f>_xlfn.XLOOKUP(empresas_identificadas_complementadas[[#This Row],[cnpj]],empresas_filtradas!A:A,empresas_filtradas!M:M)</f>
        <v>Sem Relação</v>
      </c>
    </row>
    <row r="228" spans="1:17" x14ac:dyDescent="0.25">
      <c r="A228">
        <v>12201621000112</v>
      </c>
      <c r="B228" t="s">
        <v>2</v>
      </c>
      <c r="C228" t="s">
        <v>739</v>
      </c>
      <c r="D228">
        <v>81650060</v>
      </c>
      <c r="E228" t="s">
        <v>45</v>
      </c>
      <c r="F228">
        <v>7535</v>
      </c>
      <c r="G228" t="s">
        <v>801</v>
      </c>
      <c r="H228" t="s">
        <v>802</v>
      </c>
      <c r="I228">
        <v>20.149999999999999</v>
      </c>
      <c r="J228">
        <v>-25.486977100000001</v>
      </c>
      <c r="K228">
        <v>-49.237777399999999</v>
      </c>
      <c r="L228" t="s">
        <v>742</v>
      </c>
      <c r="M228" t="s">
        <v>803</v>
      </c>
      <c r="N228" t="s">
        <v>45</v>
      </c>
      <c r="P228" t="str">
        <f>_xlfn.XLOOKUP(empresas_identificadas_complementadas[[#This Row],[cnpj]],empresas_filtradas[cnpj],empresas_filtradas[email])</f>
        <v>AXIGAS@AXIGAS.COM.BR</v>
      </c>
      <c r="Q228" t="str">
        <f>_xlfn.XLOOKUP(empresas_identificadas_complementadas[[#This Row],[cnpj]],empresas_filtradas!A:A,empresas_filtradas!M:M)</f>
        <v>Relação</v>
      </c>
    </row>
    <row r="229" spans="1:17" x14ac:dyDescent="0.25">
      <c r="A229">
        <v>22290296000165</v>
      </c>
      <c r="B229" t="s">
        <v>2</v>
      </c>
      <c r="C229" t="s">
        <v>739</v>
      </c>
      <c r="D229">
        <v>29157025</v>
      </c>
      <c r="E229" t="s">
        <v>49</v>
      </c>
      <c r="F229">
        <v>5625</v>
      </c>
      <c r="G229" t="s">
        <v>778</v>
      </c>
      <c r="H229" t="s">
        <v>779</v>
      </c>
      <c r="I229">
        <v>15.86</v>
      </c>
      <c r="J229">
        <v>-20.263202</v>
      </c>
      <c r="K229">
        <v>-40.416549000000003</v>
      </c>
      <c r="L229" t="s">
        <v>742</v>
      </c>
      <c r="M229" t="s">
        <v>846</v>
      </c>
      <c r="N229" t="s">
        <v>49</v>
      </c>
      <c r="O229" t="s">
        <v>755</v>
      </c>
      <c r="P229" t="str">
        <f>_xlfn.XLOOKUP(empresas_identificadas_complementadas[[#This Row],[cnpj]],empresas_filtradas[cnpj],empresas_filtradas[email])</f>
        <v>CONTABIL@OXGAS.COM.BR</v>
      </c>
      <c r="Q229" t="str">
        <f>_xlfn.XLOOKUP(empresas_identificadas_complementadas[[#This Row],[cnpj]],empresas_filtradas!A:A,empresas_filtradas!M:M)</f>
        <v>Sem Relação</v>
      </c>
    </row>
    <row r="230" spans="1:17" x14ac:dyDescent="0.25">
      <c r="A230">
        <v>24539446000157</v>
      </c>
      <c r="B230" t="s">
        <v>2</v>
      </c>
      <c r="E230" t="s">
        <v>53</v>
      </c>
      <c r="F230">
        <v>9707</v>
      </c>
      <c r="P230" t="str">
        <f>_xlfn.XLOOKUP(empresas_identificadas_complementadas[[#This Row],[cnpj]],empresas_filtradas[cnpj],empresas_filtradas[email])</f>
        <v>SERES.BAUM@WGI.ONE</v>
      </c>
      <c r="Q230" t="str">
        <f>_xlfn.XLOOKUP(empresas_identificadas_complementadas[[#This Row],[cnpj]],empresas_filtradas!A:A,empresas_filtradas!M:M)</f>
        <v>Sem Relação</v>
      </c>
    </row>
    <row r="231" spans="1:17" x14ac:dyDescent="0.25">
      <c r="A231">
        <v>11501268000123</v>
      </c>
      <c r="B231" t="s">
        <v>4</v>
      </c>
      <c r="D231">
        <v>65911769</v>
      </c>
      <c r="E231" t="s">
        <v>56</v>
      </c>
      <c r="F231">
        <v>803</v>
      </c>
      <c r="G231" t="s">
        <v>784</v>
      </c>
      <c r="H231" t="s">
        <v>785</v>
      </c>
      <c r="I231">
        <v>463.17</v>
      </c>
      <c r="J231">
        <v>-5.5040303000000002</v>
      </c>
      <c r="K231">
        <v>-47.453037500000001</v>
      </c>
      <c r="L231" t="s">
        <v>742</v>
      </c>
      <c r="M231" t="s">
        <v>858</v>
      </c>
      <c r="N231" t="s">
        <v>56</v>
      </c>
      <c r="P231" t="str">
        <f>_xlfn.XLOOKUP(empresas_identificadas_complementadas[[#This Row],[cnpj]],empresas_filtradas[cnpj],empresas_filtradas[email])</f>
        <v>TROPICALIMPORTADORA@CONTADORGESTOR.COM.BR</v>
      </c>
      <c r="Q231" t="str">
        <f>_xlfn.XLOOKUP(empresas_identificadas_complementadas[[#This Row],[cnpj]],empresas_filtradas!A:A,empresas_filtradas!M:M)</f>
        <v>Sem Relação</v>
      </c>
    </row>
    <row r="232" spans="1:17" x14ac:dyDescent="0.25">
      <c r="A232">
        <v>26288918000171</v>
      </c>
      <c r="B232" t="s">
        <v>4</v>
      </c>
      <c r="D232">
        <v>89245000</v>
      </c>
      <c r="E232" t="s">
        <v>65</v>
      </c>
      <c r="F232">
        <v>8025</v>
      </c>
      <c r="G232" t="s">
        <v>801</v>
      </c>
      <c r="H232" t="s">
        <v>802</v>
      </c>
      <c r="I232">
        <v>110.69</v>
      </c>
      <c r="J232">
        <v>-26.370332399999999</v>
      </c>
      <c r="K232">
        <v>-48.7210994</v>
      </c>
      <c r="L232" t="s">
        <v>742</v>
      </c>
      <c r="M232" t="s">
        <v>907</v>
      </c>
      <c r="N232" t="s">
        <v>65</v>
      </c>
      <c r="P232" t="str">
        <f>_xlfn.XLOOKUP(empresas_identificadas_complementadas[[#This Row],[cnpj]],empresas_filtradas[cnpj],empresas_filtradas[email])</f>
        <v>SOCIETARIO1@ATOS.CNT.BR</v>
      </c>
      <c r="Q232" t="str">
        <f>_xlfn.XLOOKUP(empresas_identificadas_complementadas[[#This Row],[cnpj]],empresas_filtradas!A:A,empresas_filtradas!M:M)</f>
        <v>Sem Relação</v>
      </c>
    </row>
    <row r="233" spans="1:17" x14ac:dyDescent="0.25">
      <c r="A233">
        <v>42315528000108</v>
      </c>
      <c r="B233" t="s">
        <v>2</v>
      </c>
      <c r="D233">
        <v>59147325</v>
      </c>
      <c r="E233" t="s">
        <v>71</v>
      </c>
      <c r="F233">
        <v>1779</v>
      </c>
      <c r="G233" t="s">
        <v>796</v>
      </c>
      <c r="H233" t="s">
        <v>768</v>
      </c>
      <c r="I233">
        <v>278.14</v>
      </c>
      <c r="J233">
        <v>-5.9153333999999997</v>
      </c>
      <c r="K233">
        <v>-35.267991299999998</v>
      </c>
      <c r="L233" t="s">
        <v>742</v>
      </c>
      <c r="M233" t="s">
        <v>896</v>
      </c>
      <c r="N233" t="s">
        <v>71</v>
      </c>
      <c r="O233" t="s">
        <v>755</v>
      </c>
      <c r="P233" t="str">
        <f>_xlfn.XLOOKUP(empresas_identificadas_complementadas[[#This Row],[cnpj]],empresas_filtradas[cnpj],empresas_filtradas[email])</f>
        <v>FDEADOSSANTOS@GMAIL.COM</v>
      </c>
      <c r="Q233" t="str">
        <f>_xlfn.XLOOKUP(empresas_identificadas_complementadas[[#This Row],[cnpj]],empresas_filtradas!A:A,empresas_filtradas!M:M)</f>
        <v>Sem Relação</v>
      </c>
    </row>
    <row r="234" spans="1:17" x14ac:dyDescent="0.25">
      <c r="A234">
        <v>63634596000444</v>
      </c>
      <c r="B234" t="s">
        <v>4</v>
      </c>
      <c r="C234" t="s">
        <v>744</v>
      </c>
      <c r="D234">
        <v>68632000</v>
      </c>
      <c r="E234" t="s">
        <v>78</v>
      </c>
      <c r="F234">
        <v>623</v>
      </c>
      <c r="G234" t="s">
        <v>784</v>
      </c>
      <c r="H234" t="s">
        <v>785</v>
      </c>
      <c r="I234">
        <v>282.38</v>
      </c>
      <c r="J234">
        <v>-3.7575265999999998</v>
      </c>
      <c r="K234">
        <v>-47.500937700000001</v>
      </c>
      <c r="L234" t="s">
        <v>742</v>
      </c>
      <c r="M234" t="s">
        <v>908</v>
      </c>
      <c r="N234" t="s">
        <v>78</v>
      </c>
      <c r="P234" t="str">
        <f>_xlfn.XLOOKUP(empresas_identificadas_complementadas[[#This Row],[cnpj]],empresas_filtradas[cnpj],empresas_filtradas[email])</f>
        <v>TRIBUTARIOGS@GRUPOSIMOES.COM.BR</v>
      </c>
      <c r="Q234" t="str">
        <f>_xlfn.XLOOKUP(empresas_identificadas_complementadas[[#This Row],[cnpj]],empresas_filtradas!A:A,empresas_filtradas!M:M)</f>
        <v>Sem Relação</v>
      </c>
    </row>
    <row r="235" spans="1:17" x14ac:dyDescent="0.25">
      <c r="A235">
        <v>52238156000109</v>
      </c>
      <c r="B235" t="s">
        <v>4</v>
      </c>
      <c r="C235" t="s">
        <v>739</v>
      </c>
      <c r="D235">
        <v>27197000</v>
      </c>
      <c r="E235" t="s">
        <v>27</v>
      </c>
      <c r="F235">
        <v>778</v>
      </c>
      <c r="G235" t="s">
        <v>828</v>
      </c>
      <c r="H235" t="s">
        <v>749</v>
      </c>
      <c r="I235">
        <v>10.53</v>
      </c>
      <c r="J235">
        <v>-22.518744600000002</v>
      </c>
      <c r="K235">
        <v>-44.001583099999998</v>
      </c>
      <c r="L235" t="s">
        <v>742</v>
      </c>
      <c r="P235" t="str">
        <f>_xlfn.XLOOKUP(empresas_identificadas_complementadas[[#This Row],[cnpj]],empresas_filtradas[cnpj],empresas_filtradas[email])</f>
        <v>ASPCONTABILIDADEVR@HOTMAIL.COM</v>
      </c>
      <c r="Q235" t="str">
        <f>_xlfn.XLOOKUP(empresas_identificadas_complementadas[[#This Row],[cnpj]],empresas_filtradas!A:A,empresas_filtradas!M:M)</f>
        <v>Sem Relação</v>
      </c>
    </row>
    <row r="236" spans="1:17" x14ac:dyDescent="0.25">
      <c r="A236">
        <v>52315566000106</v>
      </c>
      <c r="B236" t="s">
        <v>2</v>
      </c>
      <c r="C236" t="s">
        <v>739</v>
      </c>
      <c r="D236">
        <v>30170008</v>
      </c>
      <c r="E236" t="s">
        <v>17</v>
      </c>
      <c r="F236">
        <v>4123</v>
      </c>
      <c r="G236" t="s">
        <v>788</v>
      </c>
      <c r="H236" t="s">
        <v>789</v>
      </c>
      <c r="I236">
        <v>9.18</v>
      </c>
      <c r="J236">
        <v>-19.932577899999998</v>
      </c>
      <c r="K236">
        <v>-43.949881499999996</v>
      </c>
      <c r="L236" t="s">
        <v>742</v>
      </c>
      <c r="M236" t="s">
        <v>859</v>
      </c>
      <c r="N236" t="s">
        <v>17</v>
      </c>
      <c r="P236" t="str">
        <f>_xlfn.XLOOKUP(empresas_identificadas_complementadas[[#This Row],[cnpj]],empresas_filtradas[cnpj],empresas_filtradas[email])</f>
        <v>CGF@SOLATIO.COM.BR</v>
      </c>
      <c r="Q236" t="str">
        <f>_xlfn.XLOOKUP(empresas_identificadas_complementadas[[#This Row],[cnpj]],empresas_filtradas!A:A,empresas_filtradas!M:M)</f>
        <v>Conceito de Planta</v>
      </c>
    </row>
    <row r="237" spans="1:17" x14ac:dyDescent="0.25">
      <c r="A237">
        <v>57155559000108</v>
      </c>
      <c r="B237" t="s">
        <v>4</v>
      </c>
      <c r="D237">
        <v>58069263</v>
      </c>
      <c r="E237" t="s">
        <v>96</v>
      </c>
      <c r="F237">
        <v>2051</v>
      </c>
      <c r="G237" t="s">
        <v>796</v>
      </c>
      <c r="H237" t="s">
        <v>768</v>
      </c>
      <c r="I237">
        <v>142.19</v>
      </c>
      <c r="J237">
        <v>-7.1215980999999999</v>
      </c>
      <c r="K237">
        <v>-34.882027999999998</v>
      </c>
      <c r="L237" t="s">
        <v>742</v>
      </c>
      <c r="M237" t="s">
        <v>909</v>
      </c>
      <c r="N237" t="s">
        <v>96</v>
      </c>
      <c r="O237" t="s">
        <v>755</v>
      </c>
      <c r="P237" t="str">
        <f>_xlfn.XLOOKUP(empresas_identificadas_complementadas[[#This Row],[cnpj]],empresas_filtradas[cnpj],empresas_filtradas[email])</f>
        <v>SOSGASESINDUSTRIA@GMAIL.COM</v>
      </c>
      <c r="Q237" t="str">
        <f>_xlfn.XLOOKUP(empresas_identificadas_complementadas[[#This Row],[cnpj]],empresas_filtradas!A:A,empresas_filtradas!M:M)</f>
        <v>Sem Relação</v>
      </c>
    </row>
    <row r="238" spans="1:17" x14ac:dyDescent="0.25">
      <c r="A238">
        <v>55482177000325</v>
      </c>
      <c r="B238" t="s">
        <v>2</v>
      </c>
      <c r="C238" t="s">
        <v>739</v>
      </c>
      <c r="D238">
        <v>60875010</v>
      </c>
      <c r="E238" t="s">
        <v>108</v>
      </c>
      <c r="F238">
        <v>1389</v>
      </c>
      <c r="G238" t="s">
        <v>767</v>
      </c>
      <c r="H238" t="s">
        <v>768</v>
      </c>
      <c r="I238">
        <v>41.48</v>
      </c>
      <c r="J238">
        <v>-3.7932166999999999</v>
      </c>
      <c r="K238">
        <v>-38.528035899999999</v>
      </c>
      <c r="L238" t="s">
        <v>742</v>
      </c>
      <c r="M238" t="s">
        <v>888</v>
      </c>
      <c r="N238" t="s">
        <v>108</v>
      </c>
      <c r="O238" t="s">
        <v>755</v>
      </c>
      <c r="P238" t="str">
        <f>_xlfn.XLOOKUP(empresas_identificadas_complementadas[[#This Row],[cnpj]],empresas_filtradas[cnpj],empresas_filtradas[email])</f>
        <v>SILTON@SILTON.COM.BR</v>
      </c>
      <c r="Q238" t="str">
        <f>_xlfn.XLOOKUP(empresas_identificadas_complementadas[[#This Row],[cnpj]],empresas_filtradas!A:A,empresas_filtradas!M:M)</f>
        <v>Relação</v>
      </c>
    </row>
    <row r="239" spans="1:17" x14ac:dyDescent="0.25">
      <c r="A239">
        <v>5914165000192</v>
      </c>
      <c r="B239" t="s">
        <v>2</v>
      </c>
      <c r="C239" t="s">
        <v>744</v>
      </c>
      <c r="D239">
        <v>69008445</v>
      </c>
      <c r="E239" t="s">
        <v>114</v>
      </c>
      <c r="F239">
        <v>255</v>
      </c>
      <c r="G239" t="s">
        <v>784</v>
      </c>
      <c r="H239" t="s">
        <v>785</v>
      </c>
      <c r="I239">
        <v>1252.68</v>
      </c>
      <c r="J239">
        <v>-3.1054404999999998</v>
      </c>
      <c r="K239">
        <v>-59.912879699999998</v>
      </c>
      <c r="L239" t="s">
        <v>742</v>
      </c>
      <c r="M239" t="s">
        <v>892</v>
      </c>
      <c r="N239" t="s">
        <v>114</v>
      </c>
      <c r="P239" t="str">
        <f>_xlfn.XLOOKUP(empresas_identificadas_complementadas[[#This Row],[cnpj]],empresas_filtradas[cnpj],empresas_filtradas[email])</f>
        <v>EUDNEY.SOUSA@CARBOXIGASES.COM</v>
      </c>
      <c r="Q239" t="str">
        <f>_xlfn.XLOOKUP(empresas_identificadas_complementadas[[#This Row],[cnpj]],empresas_filtradas!A:A,empresas_filtradas!M:M)</f>
        <v>Sem Relação</v>
      </c>
    </row>
    <row r="240" spans="1:17" x14ac:dyDescent="0.25">
      <c r="A240">
        <v>60619202002787</v>
      </c>
      <c r="B240" t="s">
        <v>2</v>
      </c>
      <c r="C240" t="s">
        <v>739</v>
      </c>
      <c r="D240">
        <v>24800001</v>
      </c>
      <c r="E240" t="s">
        <v>27</v>
      </c>
      <c r="F240">
        <v>5837</v>
      </c>
      <c r="G240" t="s">
        <v>765</v>
      </c>
      <c r="H240" t="s">
        <v>753</v>
      </c>
      <c r="I240">
        <v>42.89</v>
      </c>
      <c r="J240">
        <v>-22.749623100000001</v>
      </c>
      <c r="K240">
        <v>-42.855742800000002</v>
      </c>
      <c r="L240" t="s">
        <v>742</v>
      </c>
      <c r="M240" t="s">
        <v>823</v>
      </c>
      <c r="N240" t="s">
        <v>27</v>
      </c>
      <c r="O240" t="s">
        <v>755</v>
      </c>
      <c r="P240" t="str">
        <f>_xlfn.XLOOKUP(empresas_identificadas_complementadas[[#This Row],[cnpj]],empresas_filtradas[cnpj],empresas_filtradas[email])</f>
        <v>MESSER</v>
      </c>
      <c r="Q240" t="str">
        <f>_xlfn.XLOOKUP(empresas_identificadas_complementadas[[#This Row],[cnpj]],empresas_filtradas!A:A,empresas_filtradas!M:M)</f>
        <v>Não Planta</v>
      </c>
    </row>
    <row r="241" spans="1:17" x14ac:dyDescent="0.25">
      <c r="A241">
        <v>4075268000143</v>
      </c>
      <c r="B241" t="s">
        <v>2</v>
      </c>
      <c r="C241" t="s">
        <v>739</v>
      </c>
      <c r="D241">
        <v>3901010</v>
      </c>
      <c r="E241" t="s">
        <v>32</v>
      </c>
      <c r="F241">
        <v>7107</v>
      </c>
      <c r="G241" t="s">
        <v>798</v>
      </c>
      <c r="H241" t="s">
        <v>799</v>
      </c>
      <c r="I241">
        <v>20.61</v>
      </c>
      <c r="J241">
        <v>-23.550650699999998</v>
      </c>
      <c r="K241">
        <v>-46.633382400000002</v>
      </c>
      <c r="L241" t="s">
        <v>742</v>
      </c>
      <c r="M241" t="s">
        <v>841</v>
      </c>
      <c r="N241" t="s">
        <v>32</v>
      </c>
      <c r="O241" t="s">
        <v>755</v>
      </c>
      <c r="P241" t="str">
        <f>_xlfn.XLOOKUP(empresas_identificadas_complementadas[[#This Row],[cnpj]],empresas_filtradas[cnpj],empresas_filtradas[email])</f>
        <v>CONTATO@OXICOLOROXIGENIO.COM.BR</v>
      </c>
      <c r="Q241" t="str">
        <f>_xlfn.XLOOKUP(empresas_identificadas_complementadas[[#This Row],[cnpj]],empresas_filtradas!A:A,empresas_filtradas!M:M)</f>
        <v>Sem Relação</v>
      </c>
    </row>
    <row r="242" spans="1:17" x14ac:dyDescent="0.25">
      <c r="A242">
        <v>43117399000289</v>
      </c>
      <c r="B242" t="s">
        <v>4</v>
      </c>
      <c r="C242" t="s">
        <v>751</v>
      </c>
      <c r="D242">
        <v>9380440</v>
      </c>
      <c r="E242" t="s">
        <v>32</v>
      </c>
      <c r="F242">
        <v>6689</v>
      </c>
      <c r="G242" t="s">
        <v>798</v>
      </c>
      <c r="H242" t="s">
        <v>799</v>
      </c>
      <c r="I242">
        <v>1.1499999999999999</v>
      </c>
      <c r="J242">
        <v>-23.6669527</v>
      </c>
      <c r="K242">
        <v>-46.461692200000002</v>
      </c>
      <c r="L242" t="s">
        <v>742</v>
      </c>
      <c r="M242" t="s">
        <v>843</v>
      </c>
      <c r="N242" t="s">
        <v>32</v>
      </c>
      <c r="O242" t="s">
        <v>755</v>
      </c>
      <c r="P242" t="str">
        <f>_xlfn.XLOOKUP(empresas_identificadas_complementadas[[#This Row],[cnpj]],empresas_filtradas[cnpj],empresas_filtradas[email])</f>
        <v/>
      </c>
      <c r="Q242" t="str">
        <f>_xlfn.XLOOKUP(empresas_identificadas_complementadas[[#This Row],[cnpj]],empresas_filtradas!A:A,empresas_filtradas!M:M)</f>
        <v>Sem Relação</v>
      </c>
    </row>
    <row r="243" spans="1:17" x14ac:dyDescent="0.25">
      <c r="A243">
        <v>13243140000132</v>
      </c>
      <c r="B243" t="s">
        <v>2</v>
      </c>
      <c r="C243" t="s">
        <v>744</v>
      </c>
      <c r="D243">
        <v>14781160</v>
      </c>
      <c r="E243" t="s">
        <v>32</v>
      </c>
      <c r="F243">
        <v>6209</v>
      </c>
      <c r="G243" t="s">
        <v>745</v>
      </c>
      <c r="H243" t="s">
        <v>746</v>
      </c>
      <c r="I243">
        <v>111.22</v>
      </c>
      <c r="J243">
        <v>-20.5531437</v>
      </c>
      <c r="K243">
        <v>-48.569750900000003</v>
      </c>
      <c r="L243" t="s">
        <v>742</v>
      </c>
      <c r="M243" t="s">
        <v>910</v>
      </c>
      <c r="N243" t="s">
        <v>32</v>
      </c>
      <c r="O243" t="s">
        <v>755</v>
      </c>
      <c r="P243" t="str">
        <f>_xlfn.XLOOKUP(empresas_identificadas_complementadas[[#This Row],[cnpj]],empresas_filtradas[cnpj],empresas_filtradas[email])</f>
        <v>WILSONPENHABTOS@YAHOO.COM.BR</v>
      </c>
      <c r="Q243" t="str">
        <f>_xlfn.XLOOKUP(empresas_identificadas_complementadas[[#This Row],[cnpj]],empresas_filtradas!A:A,empresas_filtradas!M:M)</f>
        <v>Sem Relação</v>
      </c>
    </row>
    <row r="244" spans="1:17" x14ac:dyDescent="0.25">
      <c r="A244">
        <v>9043891000480</v>
      </c>
      <c r="B244" t="s">
        <v>2</v>
      </c>
      <c r="C244" t="s">
        <v>739</v>
      </c>
      <c r="D244">
        <v>54503410</v>
      </c>
      <c r="E244" t="s">
        <v>92</v>
      </c>
      <c r="F244">
        <v>2357</v>
      </c>
      <c r="G244" t="s">
        <v>796</v>
      </c>
      <c r="H244" t="s">
        <v>768</v>
      </c>
      <c r="I244">
        <v>14.96</v>
      </c>
      <c r="J244">
        <v>-8.2838945000000006</v>
      </c>
      <c r="K244">
        <v>-35.032098400000002</v>
      </c>
      <c r="L244" t="s">
        <v>742</v>
      </c>
      <c r="M244" t="s">
        <v>806</v>
      </c>
      <c r="N244" t="s">
        <v>92</v>
      </c>
      <c r="O244" t="s">
        <v>755</v>
      </c>
      <c r="P244" t="str">
        <f>_xlfn.XLOOKUP(empresas_identificadas_complementadas[[#This Row],[cnpj]],empresas_filtradas[cnpj],empresas_filtradas[email])</f>
        <v>FISCAL.NF@GRUPOJB.COM.BR</v>
      </c>
      <c r="Q244" t="str">
        <f>_xlfn.XLOOKUP(empresas_identificadas_complementadas[[#This Row],[cnpj]],empresas_filtradas!A:A,empresas_filtradas!M:M)</f>
        <v>Sem Relação</v>
      </c>
    </row>
    <row r="245" spans="1:17" x14ac:dyDescent="0.25">
      <c r="A245">
        <v>55246769000186</v>
      </c>
      <c r="B245" t="s">
        <v>2</v>
      </c>
      <c r="D245">
        <v>64213901</v>
      </c>
      <c r="E245" t="s">
        <v>87</v>
      </c>
      <c r="F245">
        <v>1153</v>
      </c>
      <c r="G245" t="s">
        <v>767</v>
      </c>
      <c r="H245" t="s">
        <v>768</v>
      </c>
      <c r="I245">
        <v>334.76</v>
      </c>
      <c r="J245">
        <v>-2.9542421999999999</v>
      </c>
      <c r="K245">
        <v>-41.767035200000002</v>
      </c>
      <c r="L245" t="s">
        <v>742</v>
      </c>
      <c r="M245" t="s">
        <v>769</v>
      </c>
      <c r="N245" t="s">
        <v>87</v>
      </c>
      <c r="P245" t="str">
        <f>_xlfn.XLOOKUP(empresas_identificadas_complementadas[[#This Row],[cnpj]],empresas_filtradas[cnpj],empresas_filtradas[email])</f>
        <v>CGF@SOLATIO.COM.BR</v>
      </c>
      <c r="Q245" t="str">
        <f>_xlfn.XLOOKUP(empresas_identificadas_complementadas[[#This Row],[cnpj]],empresas_filtradas!A:A,empresas_filtradas!M:M)</f>
        <v>Não Planta</v>
      </c>
    </row>
    <row r="246" spans="1:17" x14ac:dyDescent="0.25">
      <c r="A246">
        <v>54001996000189</v>
      </c>
      <c r="B246" t="s">
        <v>2</v>
      </c>
      <c r="C246" t="s">
        <v>739</v>
      </c>
      <c r="D246">
        <v>60170002</v>
      </c>
      <c r="E246" t="s">
        <v>108</v>
      </c>
      <c r="F246">
        <v>1389</v>
      </c>
      <c r="G246" t="s">
        <v>767</v>
      </c>
      <c r="H246" t="s">
        <v>768</v>
      </c>
      <c r="I246">
        <v>40.57</v>
      </c>
      <c r="J246">
        <v>-3.7410407999999999</v>
      </c>
      <c r="K246">
        <v>-38.4999337</v>
      </c>
      <c r="L246" t="s">
        <v>742</v>
      </c>
      <c r="M246" t="s">
        <v>888</v>
      </c>
      <c r="N246" t="s">
        <v>108</v>
      </c>
      <c r="P246" t="str">
        <f>_xlfn.XLOOKUP(empresas_identificadas_complementadas[[#This Row],[cnpj]],empresas_filtradas[cnpj],empresas_filtradas[email])</f>
        <v>FISCAL.EOLICAS@CASADOSVENTOS.COM.BR</v>
      </c>
      <c r="Q246" t="str">
        <f>_xlfn.XLOOKUP(empresas_identificadas_complementadas[[#This Row],[cnpj]],empresas_filtradas!A:A,empresas_filtradas!M:M)</f>
        <v>Conceito de Planta</v>
      </c>
    </row>
    <row r="247" spans="1:17" x14ac:dyDescent="0.25">
      <c r="A247">
        <v>5329135000119</v>
      </c>
      <c r="B247" t="s">
        <v>2</v>
      </c>
      <c r="D247">
        <v>58011040</v>
      </c>
      <c r="E247" t="s">
        <v>96</v>
      </c>
      <c r="F247">
        <v>2051</v>
      </c>
      <c r="G247" t="s">
        <v>796</v>
      </c>
      <c r="H247" t="s">
        <v>768</v>
      </c>
      <c r="I247">
        <v>141.22999999999999</v>
      </c>
      <c r="J247">
        <v>-7.1299181000000003</v>
      </c>
      <c r="K247">
        <v>-34.887794300000003</v>
      </c>
      <c r="L247" t="s">
        <v>742</v>
      </c>
      <c r="M247" t="s">
        <v>909</v>
      </c>
      <c r="N247" t="s">
        <v>96</v>
      </c>
      <c r="P247" t="str">
        <f>_xlfn.XLOOKUP(empresas_identificadas_complementadas[[#This Row],[cnpj]],empresas_filtradas[cnpj],empresas_filtradas[email])</f>
        <v/>
      </c>
      <c r="Q247" t="str">
        <f>_xlfn.XLOOKUP(empresas_identificadas_complementadas[[#This Row],[cnpj]],empresas_filtradas!A:A,empresas_filtradas!M:M)</f>
        <v>Sem Relação</v>
      </c>
    </row>
    <row r="248" spans="1:17" x14ac:dyDescent="0.25">
      <c r="A248">
        <v>3819835000166</v>
      </c>
      <c r="B248" t="s">
        <v>2</v>
      </c>
      <c r="D248">
        <v>76812014</v>
      </c>
      <c r="E248" t="s">
        <v>167</v>
      </c>
      <c r="F248">
        <v>3</v>
      </c>
      <c r="G248" t="s">
        <v>784</v>
      </c>
      <c r="H248" t="s">
        <v>785</v>
      </c>
      <c r="I248">
        <v>1855.96</v>
      </c>
      <c r="J248">
        <v>-8.7494525000000003</v>
      </c>
      <c r="K248">
        <v>-63.8735438</v>
      </c>
      <c r="L248" t="s">
        <v>742</v>
      </c>
      <c r="M248" t="s">
        <v>807</v>
      </c>
      <c r="N248" t="s">
        <v>167</v>
      </c>
      <c r="O248" t="s">
        <v>755</v>
      </c>
      <c r="P248" t="str">
        <f>_xlfn.XLOOKUP(empresas_identificadas_complementadas[[#This Row],[cnpj]],empresas_filtradas[cnpj],empresas_filtradas[email])</f>
        <v>ADMOPN@GMAIL.COM</v>
      </c>
      <c r="Q248" t="str">
        <f>_xlfn.XLOOKUP(empresas_identificadas_complementadas[[#This Row],[cnpj]],empresas_filtradas!A:A,empresas_filtradas!M:M)</f>
        <v>Sem Relação</v>
      </c>
    </row>
    <row r="249" spans="1:17" x14ac:dyDescent="0.25">
      <c r="A249">
        <v>73658254000337</v>
      </c>
      <c r="B249" t="s">
        <v>2</v>
      </c>
      <c r="C249" t="s">
        <v>739</v>
      </c>
      <c r="D249">
        <v>22270000</v>
      </c>
      <c r="E249" t="s">
        <v>27</v>
      </c>
      <c r="F249">
        <v>6001</v>
      </c>
      <c r="G249" t="s">
        <v>765</v>
      </c>
      <c r="H249" t="s">
        <v>753</v>
      </c>
      <c r="I249">
        <v>27.3</v>
      </c>
      <c r="J249">
        <v>-22.952408200000001</v>
      </c>
      <c r="K249">
        <v>-43.187131299999997</v>
      </c>
      <c r="L249" t="s">
        <v>742</v>
      </c>
      <c r="M249" t="s">
        <v>750</v>
      </c>
      <c r="N249" t="s">
        <v>27</v>
      </c>
      <c r="P249" t="str">
        <f>_xlfn.XLOOKUP(empresas_identificadas_complementadas[[#This Row],[cnpj]],empresas_filtradas[cnpj],empresas_filtradas[email])</f>
        <v/>
      </c>
      <c r="Q249" t="str">
        <f>_xlfn.XLOOKUP(empresas_identificadas_complementadas[[#This Row],[cnpj]],empresas_filtradas!A:A,empresas_filtradas!M:M)</f>
        <v>Sem Relação</v>
      </c>
    </row>
    <row r="250" spans="1:17" x14ac:dyDescent="0.25">
      <c r="A250">
        <v>63634596000363</v>
      </c>
      <c r="B250" t="s">
        <v>4</v>
      </c>
      <c r="C250" t="s">
        <v>751</v>
      </c>
      <c r="D250">
        <v>66635110</v>
      </c>
      <c r="E250" t="s">
        <v>78</v>
      </c>
      <c r="F250">
        <v>427</v>
      </c>
      <c r="G250" t="s">
        <v>784</v>
      </c>
      <c r="H250" t="s">
        <v>785</v>
      </c>
      <c r="I250">
        <v>38.6</v>
      </c>
      <c r="J250">
        <v>-1.3637926</v>
      </c>
      <c r="K250">
        <v>-48.4495395</v>
      </c>
      <c r="L250" t="s">
        <v>742</v>
      </c>
      <c r="M250" t="s">
        <v>849</v>
      </c>
      <c r="N250" t="s">
        <v>78</v>
      </c>
      <c r="P250" t="str">
        <f>_xlfn.XLOOKUP(empresas_identificadas_complementadas[[#This Row],[cnpj]],empresas_filtradas[cnpj],empresas_filtradas[email])</f>
        <v>TRIBUTARIOGS@GRUPOSIMOES.COM.BR</v>
      </c>
      <c r="Q250" t="str">
        <f>_xlfn.XLOOKUP(empresas_identificadas_complementadas[[#This Row],[cnpj]],empresas_filtradas!A:A,empresas_filtradas!M:M)</f>
        <v>Sem Relação</v>
      </c>
    </row>
    <row r="251" spans="1:17" x14ac:dyDescent="0.25">
      <c r="A251">
        <v>5740526000121</v>
      </c>
      <c r="B251" t="s">
        <v>2</v>
      </c>
      <c r="E251" t="s">
        <v>53</v>
      </c>
      <c r="F251">
        <v>9707</v>
      </c>
      <c r="P251" t="str">
        <f>_xlfn.XLOOKUP(empresas_identificadas_complementadas[[#This Row],[cnpj]],empresas_filtradas[cnpj],empresas_filtradas[email])</f>
        <v/>
      </c>
      <c r="Q251" t="str">
        <f>_xlfn.XLOOKUP(empresas_identificadas_complementadas[[#This Row],[cnpj]],empresas_filtradas!A:A,empresas_filtradas!M:M)</f>
        <v>Sem Relação</v>
      </c>
    </row>
    <row r="252" spans="1:17" x14ac:dyDescent="0.25">
      <c r="A252">
        <v>4498412000154</v>
      </c>
      <c r="B252" t="s">
        <v>4</v>
      </c>
      <c r="C252" t="s">
        <v>751</v>
      </c>
      <c r="D252">
        <v>12072370</v>
      </c>
      <c r="E252" t="s">
        <v>32</v>
      </c>
      <c r="F252">
        <v>7183</v>
      </c>
      <c r="G252" t="s">
        <v>793</v>
      </c>
      <c r="H252" t="s">
        <v>794</v>
      </c>
      <c r="I252">
        <v>51.27</v>
      </c>
      <c r="J252">
        <v>-23.031448000000001</v>
      </c>
      <c r="K252">
        <v>-45.561279200000001</v>
      </c>
      <c r="L252" t="s">
        <v>742</v>
      </c>
      <c r="M252" t="s">
        <v>813</v>
      </c>
      <c r="N252" t="s">
        <v>32</v>
      </c>
      <c r="O252" t="s">
        <v>755</v>
      </c>
      <c r="P252" t="str">
        <f>_xlfn.XLOOKUP(empresas_identificadas_complementadas[[#This Row],[cnpj]],empresas_filtradas[cnpj],empresas_filtradas[email])</f>
        <v>PORTOGAS-GASES@UOL.COM.BR</v>
      </c>
      <c r="Q252" t="str">
        <f>_xlfn.XLOOKUP(empresas_identificadas_complementadas[[#This Row],[cnpj]],empresas_filtradas!A:A,empresas_filtradas!M:M)</f>
        <v>Sem Relação</v>
      </c>
    </row>
    <row r="253" spans="1:17" x14ac:dyDescent="0.25">
      <c r="A253">
        <v>13143803000147</v>
      </c>
      <c r="B253" t="s">
        <v>2</v>
      </c>
      <c r="D253">
        <v>72427010</v>
      </c>
      <c r="E253" t="s">
        <v>40</v>
      </c>
      <c r="F253">
        <v>9701</v>
      </c>
      <c r="G253" t="s">
        <v>745</v>
      </c>
      <c r="H253" t="s">
        <v>746</v>
      </c>
      <c r="I253">
        <v>439.6</v>
      </c>
      <c r="J253">
        <v>-15.7939869</v>
      </c>
      <c r="K253">
        <v>-47.882800000000003</v>
      </c>
      <c r="L253" t="s">
        <v>742</v>
      </c>
      <c r="M253" t="s">
        <v>757</v>
      </c>
      <c r="N253" t="s">
        <v>40</v>
      </c>
      <c r="O253" t="s">
        <v>755</v>
      </c>
      <c r="P253" t="str">
        <f>_xlfn.XLOOKUP(empresas_identificadas_complementadas[[#This Row],[cnpj]],empresas_filtradas[cnpj],empresas_filtradas[email])</f>
        <v/>
      </c>
      <c r="Q253" t="str">
        <f>_xlfn.XLOOKUP(empresas_identificadas_complementadas[[#This Row],[cnpj]],empresas_filtradas!A:A,empresas_filtradas!M:M)</f>
        <v>Sem Relação</v>
      </c>
    </row>
    <row r="254" spans="1:17" x14ac:dyDescent="0.25">
      <c r="A254">
        <v>2555047000228</v>
      </c>
      <c r="B254" t="s">
        <v>3</v>
      </c>
      <c r="C254" t="s">
        <v>751</v>
      </c>
      <c r="D254">
        <v>83604712</v>
      </c>
      <c r="E254" t="s">
        <v>45</v>
      </c>
      <c r="F254">
        <v>7481</v>
      </c>
      <c r="G254" t="s">
        <v>801</v>
      </c>
      <c r="H254" t="s">
        <v>802</v>
      </c>
      <c r="I254">
        <v>18.75</v>
      </c>
      <c r="J254">
        <v>-25.459772600000001</v>
      </c>
      <c r="K254">
        <v>-49.527085100000001</v>
      </c>
      <c r="L254" t="s">
        <v>742</v>
      </c>
      <c r="M254" t="s">
        <v>911</v>
      </c>
      <c r="N254" t="s">
        <v>45</v>
      </c>
      <c r="O254" t="s">
        <v>755</v>
      </c>
      <c r="P254" t="str">
        <f>_xlfn.XLOOKUP(empresas_identificadas_complementadas[[#This Row],[cnpj]],empresas_filtradas[cnpj],empresas_filtradas[email])</f>
        <v>RHOMA@RHOMA.COM.BR</v>
      </c>
      <c r="Q254" t="str">
        <f>_xlfn.XLOOKUP(empresas_identificadas_complementadas[[#This Row],[cnpj]],empresas_filtradas!A:A,empresas_filtradas!M:M)</f>
        <v>Sem Relação</v>
      </c>
    </row>
    <row r="255" spans="1:17" x14ac:dyDescent="0.25">
      <c r="A255">
        <v>17415984000174</v>
      </c>
      <c r="B255" t="s">
        <v>2</v>
      </c>
      <c r="C255" t="s">
        <v>739</v>
      </c>
      <c r="D255">
        <v>13273202</v>
      </c>
      <c r="E255" t="s">
        <v>32</v>
      </c>
      <c r="F255">
        <v>7225</v>
      </c>
      <c r="G255" t="s">
        <v>752</v>
      </c>
      <c r="H255" t="s">
        <v>753</v>
      </c>
      <c r="I255">
        <v>30.65</v>
      </c>
      <c r="J255">
        <v>-22.970559999999999</v>
      </c>
      <c r="K255">
        <v>-46.995829999999998</v>
      </c>
      <c r="L255" t="s">
        <v>742</v>
      </c>
      <c r="M255" t="s">
        <v>912</v>
      </c>
      <c r="N255" t="s">
        <v>32</v>
      </c>
      <c r="O255" t="s">
        <v>755</v>
      </c>
      <c r="P255" t="str">
        <f>_xlfn.XLOOKUP(empresas_identificadas_complementadas[[#This Row],[cnpj]],empresas_filtradas[cnpj],empresas_filtradas[email])</f>
        <v>CARLOS.ANDRE@AGNAAMBIENTAL.COM.BR</v>
      </c>
      <c r="Q255" t="str">
        <f>_xlfn.XLOOKUP(empresas_identificadas_complementadas[[#This Row],[cnpj]],empresas_filtradas!A:A,empresas_filtradas!M:M)</f>
        <v>Sem Relação</v>
      </c>
    </row>
    <row r="256" spans="1:17" x14ac:dyDescent="0.25">
      <c r="A256">
        <v>8272654000186</v>
      </c>
      <c r="B256" t="s">
        <v>2</v>
      </c>
      <c r="C256" t="s">
        <v>739</v>
      </c>
      <c r="D256">
        <v>35660970</v>
      </c>
      <c r="E256" t="s">
        <v>17</v>
      </c>
      <c r="F256">
        <v>4941</v>
      </c>
      <c r="G256" t="s">
        <v>788</v>
      </c>
      <c r="H256" t="s">
        <v>789</v>
      </c>
      <c r="I256">
        <v>63.55</v>
      </c>
      <c r="J256">
        <v>-19.859863399999998</v>
      </c>
      <c r="K256">
        <v>-44.607428400000003</v>
      </c>
      <c r="L256" t="s">
        <v>742</v>
      </c>
      <c r="M256" t="s">
        <v>913</v>
      </c>
      <c r="N256" t="s">
        <v>17</v>
      </c>
      <c r="P256" t="str">
        <f>_xlfn.XLOOKUP(empresas_identificadas_complementadas[[#This Row],[cnpj]],empresas_filtradas[cnpj],empresas_filtradas[email])</f>
        <v>LEGALIZACAO@AVCONTABILIDADE.COM.BR</v>
      </c>
      <c r="Q256" t="str">
        <f>_xlfn.XLOOKUP(empresas_identificadas_complementadas[[#This Row],[cnpj]],empresas_filtradas!A:A,empresas_filtradas!M:M)</f>
        <v>Sem Relação</v>
      </c>
    </row>
    <row r="257" spans="1:17" x14ac:dyDescent="0.25">
      <c r="A257">
        <v>18835198000199</v>
      </c>
      <c r="B257" t="s">
        <v>2</v>
      </c>
      <c r="C257" t="s">
        <v>739</v>
      </c>
      <c r="D257">
        <v>7231060</v>
      </c>
      <c r="E257" t="s">
        <v>32</v>
      </c>
      <c r="F257">
        <v>6477</v>
      </c>
      <c r="G257" t="s">
        <v>798</v>
      </c>
      <c r="H257" t="s">
        <v>799</v>
      </c>
      <c r="I257">
        <v>22.19</v>
      </c>
      <c r="J257">
        <v>-23.467594099999999</v>
      </c>
      <c r="K257">
        <v>-46.527770400000001</v>
      </c>
      <c r="L257" t="s">
        <v>742</v>
      </c>
      <c r="M257" t="s">
        <v>842</v>
      </c>
      <c r="N257" t="s">
        <v>32</v>
      </c>
      <c r="O257" t="s">
        <v>755</v>
      </c>
      <c r="P257" t="str">
        <f>_xlfn.XLOOKUP(empresas_identificadas_complementadas[[#This Row],[cnpj]],empresas_filtradas[cnpj],empresas_filtradas[email])</f>
        <v>CONTATO@SPECIALGASES.COM.BR</v>
      </c>
      <c r="Q257" t="str">
        <f>_xlfn.XLOOKUP(empresas_identificadas_complementadas[[#This Row],[cnpj]],empresas_filtradas!A:A,empresas_filtradas!M:M)</f>
        <v>Relação</v>
      </c>
    </row>
    <row r="258" spans="1:17" x14ac:dyDescent="0.25">
      <c r="A258">
        <v>36014591000101</v>
      </c>
      <c r="B258" t="s">
        <v>2</v>
      </c>
      <c r="C258" t="s">
        <v>739</v>
      </c>
      <c r="D258">
        <v>29197613</v>
      </c>
      <c r="E258" t="s">
        <v>49</v>
      </c>
      <c r="F258">
        <v>5611</v>
      </c>
      <c r="G258" t="s">
        <v>778</v>
      </c>
      <c r="H258" t="s">
        <v>779</v>
      </c>
      <c r="I258">
        <v>47.54</v>
      </c>
      <c r="J258">
        <v>-19.824521799999999</v>
      </c>
      <c r="K258">
        <v>-40.273502499999999</v>
      </c>
      <c r="L258" t="s">
        <v>742</v>
      </c>
      <c r="M258" t="s">
        <v>845</v>
      </c>
      <c r="N258" t="s">
        <v>49</v>
      </c>
      <c r="O258" t="s">
        <v>755</v>
      </c>
      <c r="P258" t="str">
        <f>_xlfn.XLOOKUP(empresas_identificadas_complementadas[[#This Row],[cnpj]],empresas_filtradas[cnpj],empresas_filtradas[email])</f>
        <v>CRISITINA.SFLORENCIO@HOTMAIL.COM</v>
      </c>
      <c r="Q258" t="str">
        <f>_xlfn.XLOOKUP(empresas_identificadas_complementadas[[#This Row],[cnpj]],empresas_filtradas!A:A,empresas_filtradas!M:M)</f>
        <v>Sem Relação</v>
      </c>
    </row>
    <row r="259" spans="1:17" x14ac:dyDescent="0.25">
      <c r="A259">
        <v>39230647000145</v>
      </c>
      <c r="B259" t="s">
        <v>4</v>
      </c>
      <c r="C259" t="s">
        <v>739</v>
      </c>
      <c r="D259">
        <v>27933377</v>
      </c>
      <c r="E259" t="s">
        <v>27</v>
      </c>
      <c r="F259">
        <v>5847</v>
      </c>
      <c r="G259" t="s">
        <v>816</v>
      </c>
      <c r="H259" t="s">
        <v>817</v>
      </c>
      <c r="I259">
        <v>23.25</v>
      </c>
      <c r="J259">
        <v>-22.282830499999999</v>
      </c>
      <c r="K259">
        <v>-41.9649091</v>
      </c>
      <c r="L259" t="s">
        <v>742</v>
      </c>
      <c r="M259" t="s">
        <v>818</v>
      </c>
      <c r="N259" t="s">
        <v>27</v>
      </c>
      <c r="O259" t="s">
        <v>755</v>
      </c>
      <c r="P259" t="str">
        <f>_xlfn.XLOOKUP(empresas_identificadas_complementadas[[#This Row],[cnpj]],empresas_filtradas[cnpj],empresas_filtradas[email])</f>
        <v/>
      </c>
      <c r="Q259" t="str">
        <f>_xlfn.XLOOKUP(empresas_identificadas_complementadas[[#This Row],[cnpj]],empresas_filtradas!A:A,empresas_filtradas!M:M)</f>
        <v>Sem Relação</v>
      </c>
    </row>
    <row r="260" spans="1:17" x14ac:dyDescent="0.25">
      <c r="A260">
        <v>47050403000109</v>
      </c>
      <c r="B260" t="s">
        <v>2</v>
      </c>
      <c r="C260" t="s">
        <v>751</v>
      </c>
      <c r="D260">
        <v>9060650</v>
      </c>
      <c r="E260" t="s">
        <v>32</v>
      </c>
      <c r="F260">
        <v>7057</v>
      </c>
      <c r="G260" t="s">
        <v>798</v>
      </c>
      <c r="H260" t="s">
        <v>799</v>
      </c>
      <c r="I260">
        <v>8.16</v>
      </c>
      <c r="J260">
        <v>-23.661327</v>
      </c>
      <c r="K260">
        <v>-46.550119899999999</v>
      </c>
      <c r="L260" t="s">
        <v>742</v>
      </c>
      <c r="M260" t="s">
        <v>809</v>
      </c>
      <c r="N260" t="s">
        <v>32</v>
      </c>
      <c r="P260" t="str">
        <f>_xlfn.XLOOKUP(empresas_identificadas_complementadas[[#This Row],[cnpj]],empresas_filtradas[cnpj],empresas_filtradas[email])</f>
        <v>CIBARTHA@GMAIL.COM</v>
      </c>
      <c r="Q260" t="str">
        <f>_xlfn.XLOOKUP(empresas_identificadas_complementadas[[#This Row],[cnpj]],empresas_filtradas!A:A,empresas_filtradas!M:M)</f>
        <v>Sem Relação</v>
      </c>
    </row>
    <row r="261" spans="1:17" x14ac:dyDescent="0.25">
      <c r="A261">
        <v>48754769000121</v>
      </c>
      <c r="B261" t="s">
        <v>4</v>
      </c>
      <c r="C261" t="s">
        <v>739</v>
      </c>
      <c r="D261">
        <v>2281110</v>
      </c>
      <c r="E261" t="s">
        <v>32</v>
      </c>
      <c r="F261">
        <v>7107</v>
      </c>
      <c r="G261" t="s">
        <v>798</v>
      </c>
      <c r="H261" t="s">
        <v>799</v>
      </c>
      <c r="I261">
        <v>20.61</v>
      </c>
      <c r="J261">
        <v>-23.550650699999998</v>
      </c>
      <c r="K261">
        <v>-46.633382400000002</v>
      </c>
      <c r="L261" t="s">
        <v>742</v>
      </c>
      <c r="M261" t="s">
        <v>841</v>
      </c>
      <c r="N261" t="s">
        <v>32</v>
      </c>
      <c r="O261" t="s">
        <v>755</v>
      </c>
      <c r="P261" t="str">
        <f>_xlfn.XLOOKUP(empresas_identificadas_complementadas[[#This Row],[cnpj]],empresas_filtradas[cnpj],empresas_filtradas[email])</f>
        <v>DARDA@DARDA.COM.BR</v>
      </c>
      <c r="Q261" t="str">
        <f>_xlfn.XLOOKUP(empresas_identificadas_complementadas[[#This Row],[cnpj]],empresas_filtradas!A:A,empresas_filtradas!M:M)</f>
        <v>Sem Relação</v>
      </c>
    </row>
    <row r="262" spans="1:17" x14ac:dyDescent="0.25">
      <c r="A262">
        <v>9043891000219</v>
      </c>
      <c r="B262" t="s">
        <v>2</v>
      </c>
      <c r="C262" t="s">
        <v>751</v>
      </c>
      <c r="D262">
        <v>55616899</v>
      </c>
      <c r="E262" t="s">
        <v>92</v>
      </c>
      <c r="F262">
        <v>2627</v>
      </c>
      <c r="G262" t="s">
        <v>796</v>
      </c>
      <c r="H262" t="s">
        <v>768</v>
      </c>
      <c r="I262">
        <v>48</v>
      </c>
      <c r="J262">
        <v>-8.1209018999999998</v>
      </c>
      <c r="K262">
        <v>-35.294485799999997</v>
      </c>
      <c r="L262" t="s">
        <v>742</v>
      </c>
      <c r="M262" t="s">
        <v>914</v>
      </c>
      <c r="N262" t="s">
        <v>92</v>
      </c>
      <c r="O262" t="s">
        <v>755</v>
      </c>
      <c r="P262" t="str">
        <f>_xlfn.XLOOKUP(empresas_identificadas_complementadas[[#This Row],[cnpj]],empresas_filtradas[cnpj],empresas_filtradas[email])</f>
        <v>FISCAL.NF@GRUPOJB.COM.BR</v>
      </c>
      <c r="Q262" t="str">
        <f>_xlfn.XLOOKUP(empresas_identificadas_complementadas[[#This Row],[cnpj]],empresas_filtradas!A:A,empresas_filtradas!M:M)</f>
        <v>Sem Relação</v>
      </c>
    </row>
    <row r="263" spans="1:17" x14ac:dyDescent="0.25">
      <c r="A263">
        <v>59946751000148</v>
      </c>
      <c r="B263" t="s">
        <v>4</v>
      </c>
      <c r="D263">
        <v>13630010</v>
      </c>
      <c r="E263" t="s">
        <v>32</v>
      </c>
      <c r="F263">
        <v>6887</v>
      </c>
      <c r="G263" t="s">
        <v>752</v>
      </c>
      <c r="H263" t="s">
        <v>753</v>
      </c>
      <c r="I263">
        <v>86.47</v>
      </c>
      <c r="J263">
        <v>-21.998046800000001</v>
      </c>
      <c r="K263">
        <v>-47.428086100000002</v>
      </c>
      <c r="L263" t="s">
        <v>742</v>
      </c>
      <c r="M263" t="s">
        <v>915</v>
      </c>
      <c r="N263" t="s">
        <v>32</v>
      </c>
      <c r="O263" t="s">
        <v>755</v>
      </c>
      <c r="P263" t="str">
        <f>_xlfn.XLOOKUP(empresas_identificadas_complementadas[[#This Row],[cnpj]],empresas_filtradas[cnpj],empresas_filtradas[email])</f>
        <v>VALLIMCONTABIL@GMAIL.COM</v>
      </c>
      <c r="Q263" t="str">
        <f>_xlfn.XLOOKUP(empresas_identificadas_complementadas[[#This Row],[cnpj]],empresas_filtradas!A:A,empresas_filtradas!M:M)</f>
        <v>Sem Relação</v>
      </c>
    </row>
    <row r="264" spans="1:17" x14ac:dyDescent="0.25">
      <c r="A264">
        <v>22298504000253</v>
      </c>
      <c r="B264" t="s">
        <v>2</v>
      </c>
      <c r="D264">
        <v>68902863</v>
      </c>
      <c r="E264" t="s">
        <v>236</v>
      </c>
      <c r="F264">
        <v>605</v>
      </c>
      <c r="G264" t="s">
        <v>784</v>
      </c>
      <c r="H264" t="s">
        <v>785</v>
      </c>
      <c r="I264">
        <v>311.27999999999997</v>
      </c>
      <c r="J264">
        <v>2.0364E-2</v>
      </c>
      <c r="K264">
        <v>-51.0685164</v>
      </c>
      <c r="L264" t="s">
        <v>742</v>
      </c>
      <c r="M264" t="s">
        <v>916</v>
      </c>
      <c r="N264" t="s">
        <v>236</v>
      </c>
      <c r="P264" t="str">
        <f>_xlfn.XLOOKUP(empresas_identificadas_complementadas[[#This Row],[cnpj]],empresas_filtradas[cnpj],empresas_filtradas[email])</f>
        <v>FISCAL@GBRINGEL.COM</v>
      </c>
      <c r="Q264" t="str">
        <f>_xlfn.XLOOKUP(empresas_identificadas_complementadas[[#This Row],[cnpj]],empresas_filtradas!A:A,empresas_filtradas!M:M)</f>
        <v>Sem Relação</v>
      </c>
    </row>
    <row r="265" spans="1:17" x14ac:dyDescent="0.25">
      <c r="A265">
        <v>1920296000121</v>
      </c>
      <c r="B265" t="s">
        <v>4</v>
      </c>
      <c r="D265">
        <v>78895300</v>
      </c>
      <c r="E265" t="s">
        <v>23</v>
      </c>
      <c r="F265">
        <v>9907</v>
      </c>
      <c r="G265" t="s">
        <v>745</v>
      </c>
      <c r="H265" t="s">
        <v>746</v>
      </c>
      <c r="I265">
        <v>1153.9000000000001</v>
      </c>
      <c r="J265">
        <v>-12.5444887</v>
      </c>
      <c r="K265">
        <v>-55.723397200000001</v>
      </c>
      <c r="L265" t="s">
        <v>742</v>
      </c>
      <c r="M265" t="s">
        <v>917</v>
      </c>
      <c r="N265" t="s">
        <v>23</v>
      </c>
      <c r="O265" t="s">
        <v>755</v>
      </c>
      <c r="P265" t="str">
        <f>_xlfn.XLOOKUP(empresas_identificadas_complementadas[[#This Row],[cnpj]],empresas_filtradas[cnpj],empresas_filtradas[email])</f>
        <v>OXINORTEOP@GMAIL.COM</v>
      </c>
      <c r="Q265" t="str">
        <f>_xlfn.XLOOKUP(empresas_identificadas_complementadas[[#This Row],[cnpj]],empresas_filtradas!A:A,empresas_filtradas!M:M)</f>
        <v>Sem Relação</v>
      </c>
    </row>
    <row r="266" spans="1:17" x14ac:dyDescent="0.25">
      <c r="A266">
        <v>66358979000182</v>
      </c>
      <c r="B266" t="s">
        <v>2</v>
      </c>
      <c r="C266" t="s">
        <v>739</v>
      </c>
      <c r="D266">
        <v>34000001</v>
      </c>
      <c r="E266" t="s">
        <v>17</v>
      </c>
      <c r="F266">
        <v>4895</v>
      </c>
      <c r="G266" t="s">
        <v>788</v>
      </c>
      <c r="H266" t="s">
        <v>789</v>
      </c>
      <c r="I266">
        <v>17.55</v>
      </c>
      <c r="J266">
        <v>-19.985408899999999</v>
      </c>
      <c r="K266">
        <v>-43.847069099999999</v>
      </c>
      <c r="L266" t="s">
        <v>742</v>
      </c>
      <c r="M266" t="s">
        <v>918</v>
      </c>
      <c r="N266" t="s">
        <v>17</v>
      </c>
      <c r="O266" t="s">
        <v>755</v>
      </c>
      <c r="P266" t="str">
        <f>_xlfn.XLOOKUP(empresas_identificadas_complementadas[[#This Row],[cnpj]],empresas_filtradas[cnpj],empresas_filtradas[email])</f>
        <v>CONTADOR@OXIMIL.COM.BR</v>
      </c>
      <c r="Q266" t="str">
        <f>_xlfn.XLOOKUP(empresas_identificadas_complementadas[[#This Row],[cnpj]],empresas_filtradas!A:A,empresas_filtradas!M:M)</f>
        <v>Relação</v>
      </c>
    </row>
    <row r="267" spans="1:17" x14ac:dyDescent="0.25">
      <c r="A267">
        <v>60830296001686</v>
      </c>
      <c r="B267" t="s">
        <v>2</v>
      </c>
      <c r="D267">
        <v>95030370</v>
      </c>
      <c r="E267" t="s">
        <v>117</v>
      </c>
      <c r="F267">
        <v>8599</v>
      </c>
      <c r="G267" t="s">
        <v>771</v>
      </c>
      <c r="H267" t="s">
        <v>760</v>
      </c>
      <c r="I267">
        <v>82.02</v>
      </c>
      <c r="J267">
        <v>-29.153231900000002</v>
      </c>
      <c r="K267">
        <v>-51.206997200000004</v>
      </c>
      <c r="L267" t="s">
        <v>742</v>
      </c>
      <c r="M267" t="s">
        <v>919</v>
      </c>
      <c r="N267" t="s">
        <v>117</v>
      </c>
      <c r="P267" t="str">
        <f>_xlfn.XLOOKUP(empresas_identificadas_complementadas[[#This Row],[cnpj]],empresas_filtradas[cnpj],empresas_filtradas[email])</f>
        <v>AIRLIQUIDE</v>
      </c>
      <c r="Q267" t="str">
        <f>_xlfn.XLOOKUP(empresas_identificadas_complementadas[[#This Row],[cnpj]],empresas_filtradas!A:A,empresas_filtradas!M:M)</f>
        <v>Não Planta</v>
      </c>
    </row>
    <row r="268" spans="1:17" x14ac:dyDescent="0.25">
      <c r="A268">
        <v>24380578006209</v>
      </c>
      <c r="B268" t="s">
        <v>3</v>
      </c>
      <c r="C268" t="s">
        <v>751</v>
      </c>
      <c r="D268">
        <v>55590000</v>
      </c>
      <c r="E268" t="s">
        <v>92</v>
      </c>
      <c r="F268">
        <v>2443</v>
      </c>
      <c r="G268" t="s">
        <v>796</v>
      </c>
      <c r="H268" t="s">
        <v>768</v>
      </c>
      <c r="I268">
        <v>12.03</v>
      </c>
      <c r="J268">
        <v>-8.4914819999999995</v>
      </c>
      <c r="K268">
        <v>-35.0149908</v>
      </c>
      <c r="L268" t="s">
        <v>742</v>
      </c>
      <c r="P268" t="str">
        <f>_xlfn.XLOOKUP(empresas_identificadas_complementadas[[#This Row],[cnpj]],empresas_filtradas[cnpj],empresas_filtradas[email])</f>
        <v>ATENDIMENTO@SAC.WHITEMARTINS.COM.BR</v>
      </c>
      <c r="Q268" t="str">
        <f>_xlfn.XLOOKUP(empresas_identificadas_complementadas[[#This Row],[cnpj]],empresas_filtradas!A:A,empresas_filtradas!M:M)</f>
        <v>Planta</v>
      </c>
    </row>
    <row r="269" spans="1:17" x14ac:dyDescent="0.25">
      <c r="A269">
        <v>2084922000230</v>
      </c>
      <c r="B269" t="s">
        <v>2</v>
      </c>
      <c r="C269" t="s">
        <v>739</v>
      </c>
      <c r="D269">
        <v>68795000</v>
      </c>
      <c r="E269" t="s">
        <v>78</v>
      </c>
      <c r="F269">
        <v>429</v>
      </c>
      <c r="G269" t="s">
        <v>784</v>
      </c>
      <c r="H269" t="s">
        <v>785</v>
      </c>
      <c r="I269">
        <v>58.79</v>
      </c>
      <c r="J269">
        <v>-1.3555577000000001</v>
      </c>
      <c r="K269">
        <v>-48.252234999999999</v>
      </c>
      <c r="L269" t="s">
        <v>742</v>
      </c>
      <c r="M269" t="s">
        <v>920</v>
      </c>
      <c r="N269" t="s">
        <v>78</v>
      </c>
      <c r="P269" t="str">
        <f>_xlfn.XLOOKUP(empresas_identificadas_complementadas[[#This Row],[cnpj]],empresas_filtradas[cnpj],empresas_filtradas[email])</f>
        <v/>
      </c>
      <c r="Q269" t="str">
        <f>_xlfn.XLOOKUP(empresas_identificadas_complementadas[[#This Row],[cnpj]],empresas_filtradas!A:A,empresas_filtradas!M:M)</f>
        <v>Sem Relação</v>
      </c>
    </row>
    <row r="270" spans="1:17" x14ac:dyDescent="0.25">
      <c r="A270">
        <v>8816634000129</v>
      </c>
      <c r="B270" t="s">
        <v>4</v>
      </c>
      <c r="C270" t="s">
        <v>751</v>
      </c>
      <c r="D270">
        <v>2110000</v>
      </c>
      <c r="E270" t="s">
        <v>32</v>
      </c>
      <c r="F270">
        <v>7107</v>
      </c>
      <c r="G270" t="s">
        <v>798</v>
      </c>
      <c r="H270" t="s">
        <v>799</v>
      </c>
      <c r="I270">
        <v>20.61</v>
      </c>
      <c r="J270">
        <v>-23.550650699999998</v>
      </c>
      <c r="K270">
        <v>-46.633382400000002</v>
      </c>
      <c r="L270" t="s">
        <v>742</v>
      </c>
      <c r="M270" t="s">
        <v>841</v>
      </c>
      <c r="N270" t="s">
        <v>32</v>
      </c>
      <c r="O270" t="s">
        <v>755</v>
      </c>
      <c r="P270" t="str">
        <f>_xlfn.XLOOKUP(empresas_identificadas_complementadas[[#This Row],[cnpj]],empresas_filtradas[cnpj],empresas_filtradas[email])</f>
        <v>REGISLAINE@CRYSTALMIX.COM.BR</v>
      </c>
      <c r="Q270" t="str">
        <f>_xlfn.XLOOKUP(empresas_identificadas_complementadas[[#This Row],[cnpj]],empresas_filtradas!A:A,empresas_filtradas!M:M)</f>
        <v>Relação</v>
      </c>
    </row>
    <row r="271" spans="1:17" x14ac:dyDescent="0.25">
      <c r="A271">
        <v>6070048000233</v>
      </c>
      <c r="B271" t="s">
        <v>2</v>
      </c>
      <c r="C271" t="s">
        <v>744</v>
      </c>
      <c r="D271">
        <v>13571390</v>
      </c>
      <c r="E271" t="s">
        <v>32</v>
      </c>
      <c r="F271">
        <v>7079</v>
      </c>
      <c r="G271" t="s">
        <v>752</v>
      </c>
      <c r="H271" t="s">
        <v>753</v>
      </c>
      <c r="I271">
        <v>107.38</v>
      </c>
      <c r="J271">
        <v>-22.0411316</v>
      </c>
      <c r="K271">
        <v>-47.8721478</v>
      </c>
      <c r="L271" t="s">
        <v>864</v>
      </c>
      <c r="M271" t="s">
        <v>921</v>
      </c>
      <c r="N271" t="s">
        <v>32</v>
      </c>
      <c r="P271" t="str">
        <f>_xlfn.XLOOKUP(empresas_identificadas_complementadas[[#This Row],[cnpj]],empresas_filtradas[cnpj],empresas_filtradas[email])</f>
        <v>MARCOS.VEIGA@PROENERGYBR.COM</v>
      </c>
      <c r="Q271" t="str">
        <f>_xlfn.XLOOKUP(empresas_identificadas_complementadas[[#This Row],[cnpj]],empresas_filtradas!A:A,empresas_filtradas!M:M)</f>
        <v>Sem Relação</v>
      </c>
    </row>
    <row r="272" spans="1:17" x14ac:dyDescent="0.25">
      <c r="A272">
        <v>57894936000120</v>
      </c>
      <c r="B272" t="s">
        <v>2</v>
      </c>
      <c r="C272" t="s">
        <v>751</v>
      </c>
      <c r="D272">
        <v>32113235</v>
      </c>
      <c r="E272" t="s">
        <v>17</v>
      </c>
      <c r="F272">
        <v>4371</v>
      </c>
      <c r="G272" t="s">
        <v>788</v>
      </c>
      <c r="H272" t="s">
        <v>789</v>
      </c>
      <c r="I272">
        <v>12.5</v>
      </c>
      <c r="J272">
        <v>-19.8759391</v>
      </c>
      <c r="K272">
        <v>-44.023929199999998</v>
      </c>
      <c r="L272" t="s">
        <v>742</v>
      </c>
      <c r="M272" t="s">
        <v>790</v>
      </c>
      <c r="N272" t="s">
        <v>17</v>
      </c>
      <c r="P272" t="str">
        <f>_xlfn.XLOOKUP(empresas_identificadas_complementadas[[#This Row],[cnpj]],empresas_filtradas[cnpj],empresas_filtradas[email])</f>
        <v>JULIANA@GBGELOSECO.COM.BR</v>
      </c>
      <c r="Q272" t="str">
        <f>_xlfn.XLOOKUP(empresas_identificadas_complementadas[[#This Row],[cnpj]],empresas_filtradas!A:A,empresas_filtradas!M:M)</f>
        <v>Sem Relação</v>
      </c>
    </row>
    <row r="273" spans="1:17" x14ac:dyDescent="0.25">
      <c r="A273">
        <v>16685196000305</v>
      </c>
      <c r="B273" t="s">
        <v>2</v>
      </c>
      <c r="C273" t="s">
        <v>751</v>
      </c>
      <c r="D273">
        <v>13505620</v>
      </c>
      <c r="E273" t="s">
        <v>32</v>
      </c>
      <c r="F273">
        <v>6979</v>
      </c>
      <c r="G273" t="s">
        <v>752</v>
      </c>
      <c r="H273" t="s">
        <v>753</v>
      </c>
      <c r="I273">
        <v>58.84</v>
      </c>
      <c r="J273">
        <v>-22.3654054</v>
      </c>
      <c r="K273">
        <v>-47.555296300000002</v>
      </c>
      <c r="L273" t="s">
        <v>742</v>
      </c>
      <c r="M273" t="s">
        <v>754</v>
      </c>
      <c r="N273" t="s">
        <v>32</v>
      </c>
      <c r="P273" t="str">
        <f>_xlfn.XLOOKUP(empresas_identificadas_complementadas[[#This Row],[cnpj]],empresas_filtradas[cnpj],empresas_filtradas[email])</f>
        <v>MAURISMAR@OXYNOBRE.COM.BR</v>
      </c>
      <c r="Q273" t="str">
        <f>_xlfn.XLOOKUP(empresas_identificadas_complementadas[[#This Row],[cnpj]],empresas_filtradas!A:A,empresas_filtradas!M:M)</f>
        <v>Relação</v>
      </c>
    </row>
    <row r="274" spans="1:17" x14ac:dyDescent="0.25">
      <c r="A274">
        <v>59968994000187</v>
      </c>
      <c r="B274" t="s">
        <v>4</v>
      </c>
      <c r="D274">
        <v>13630010</v>
      </c>
      <c r="E274" t="s">
        <v>32</v>
      </c>
      <c r="F274">
        <v>6887</v>
      </c>
      <c r="G274" t="s">
        <v>752</v>
      </c>
      <c r="H274" t="s">
        <v>753</v>
      </c>
      <c r="I274">
        <v>86.47</v>
      </c>
      <c r="J274">
        <v>-21.998046800000001</v>
      </c>
      <c r="K274">
        <v>-47.428086100000002</v>
      </c>
      <c r="L274" t="s">
        <v>742</v>
      </c>
      <c r="M274" t="s">
        <v>915</v>
      </c>
      <c r="N274" t="s">
        <v>32</v>
      </c>
      <c r="O274" t="s">
        <v>755</v>
      </c>
      <c r="P274" t="str">
        <f>_xlfn.XLOOKUP(empresas_identificadas_complementadas[[#This Row],[cnpj]],empresas_filtradas[cnpj],empresas_filtradas[email])</f>
        <v>VALLIMCONTABIL@GMAIL.COM</v>
      </c>
      <c r="Q274" t="str">
        <f>_xlfn.XLOOKUP(empresas_identificadas_complementadas[[#This Row],[cnpj]],empresas_filtradas!A:A,empresas_filtradas!M:M)</f>
        <v>Sem Relação</v>
      </c>
    </row>
    <row r="275" spans="1:17" x14ac:dyDescent="0.25">
      <c r="A275">
        <v>57079083000173</v>
      </c>
      <c r="B275" t="s">
        <v>2</v>
      </c>
      <c r="C275" t="s">
        <v>739</v>
      </c>
      <c r="D275">
        <v>49010660</v>
      </c>
      <c r="E275" t="s">
        <v>133</v>
      </c>
      <c r="F275">
        <v>3105</v>
      </c>
      <c r="G275" t="s">
        <v>781</v>
      </c>
      <c r="H275" t="s">
        <v>782</v>
      </c>
      <c r="I275">
        <v>15.9</v>
      </c>
      <c r="J275">
        <v>-10.9162061</v>
      </c>
      <c r="K275">
        <v>-37.077465500000002</v>
      </c>
      <c r="L275" t="s">
        <v>742</v>
      </c>
      <c r="M275" t="s">
        <v>873</v>
      </c>
      <c r="N275" t="s">
        <v>133</v>
      </c>
      <c r="O275" t="s">
        <v>755</v>
      </c>
      <c r="P275" t="str">
        <f>_xlfn.XLOOKUP(empresas_identificadas_complementadas[[#This Row],[cnpj]],empresas_filtradas[cnpj],empresas_filtradas[email])</f>
        <v>CONFISCODIRETORIA@GMAIL.COM</v>
      </c>
      <c r="Q275" t="str">
        <f>_xlfn.XLOOKUP(empresas_identificadas_complementadas[[#This Row],[cnpj]],empresas_filtradas!A:A,empresas_filtradas!M:M)</f>
        <v>Conceito de Planta</v>
      </c>
    </row>
    <row r="276" spans="1:17" x14ac:dyDescent="0.25">
      <c r="A276">
        <v>61898569000100</v>
      </c>
      <c r="B276" t="s">
        <v>2</v>
      </c>
      <c r="C276" t="s">
        <v>739</v>
      </c>
      <c r="D276">
        <v>60833155</v>
      </c>
      <c r="E276" t="s">
        <v>108</v>
      </c>
      <c r="F276">
        <v>1389</v>
      </c>
      <c r="G276" t="s">
        <v>767</v>
      </c>
      <c r="H276" t="s">
        <v>768</v>
      </c>
      <c r="I276">
        <v>45.77</v>
      </c>
      <c r="J276">
        <v>-3.7939509</v>
      </c>
      <c r="K276">
        <v>-38.479243400000001</v>
      </c>
      <c r="L276" t="s">
        <v>742</v>
      </c>
      <c r="M276" t="s">
        <v>888</v>
      </c>
      <c r="N276" t="s">
        <v>108</v>
      </c>
      <c r="P276" t="str">
        <f>_xlfn.XLOOKUP(empresas_identificadas_complementadas[[#This Row],[cnpj]],empresas_filtradas[cnpj],empresas_filtradas[email])</f>
        <v>OLITECPAR@GMAIL.COM</v>
      </c>
      <c r="Q276" t="str">
        <f>_xlfn.XLOOKUP(empresas_identificadas_complementadas[[#This Row],[cnpj]],empresas_filtradas!A:A,empresas_filtradas!M:M)</f>
        <v>Relação</v>
      </c>
    </row>
    <row r="277" spans="1:17" x14ac:dyDescent="0.25">
      <c r="A277">
        <v>62531983000220</v>
      </c>
      <c r="B277" t="s">
        <v>4</v>
      </c>
      <c r="C277" t="s">
        <v>739</v>
      </c>
      <c r="D277">
        <v>66010080</v>
      </c>
      <c r="E277" t="s">
        <v>78</v>
      </c>
      <c r="F277">
        <v>427</v>
      </c>
      <c r="G277" t="s">
        <v>784</v>
      </c>
      <c r="H277" t="s">
        <v>785</v>
      </c>
      <c r="I277">
        <v>29.57</v>
      </c>
      <c r="J277">
        <v>-1.4522543999999999</v>
      </c>
      <c r="K277">
        <v>-48.496686699999998</v>
      </c>
      <c r="L277" t="s">
        <v>742</v>
      </c>
      <c r="M277" t="s">
        <v>849</v>
      </c>
      <c r="N277" t="s">
        <v>78</v>
      </c>
      <c r="P277" t="str">
        <f>_xlfn.XLOOKUP(empresas_identificadas_complementadas[[#This Row],[cnpj]],empresas_filtradas[cnpj],empresas_filtradas[email])</f>
        <v/>
      </c>
      <c r="Q277" t="str">
        <f>_xlfn.XLOOKUP(empresas_identificadas_complementadas[[#This Row],[cnpj]],empresas_filtradas!A:A,empresas_filtradas!M:M)</f>
        <v>Sem Relação</v>
      </c>
    </row>
    <row r="278" spans="1:17" x14ac:dyDescent="0.25">
      <c r="A278">
        <v>2706738000102</v>
      </c>
      <c r="B278" t="s">
        <v>3</v>
      </c>
      <c r="C278" t="s">
        <v>739</v>
      </c>
      <c r="D278">
        <v>43700000</v>
      </c>
      <c r="E278" t="s">
        <v>60</v>
      </c>
      <c r="F278">
        <v>3913</v>
      </c>
      <c r="G278" t="s">
        <v>759</v>
      </c>
      <c r="H278" t="s">
        <v>760</v>
      </c>
      <c r="I278">
        <v>15.32</v>
      </c>
      <c r="J278">
        <v>-12.7992662</v>
      </c>
      <c r="K278">
        <v>-38.417414000000001</v>
      </c>
      <c r="L278" t="s">
        <v>742</v>
      </c>
      <c r="P278" t="str">
        <f>_xlfn.XLOOKUP(empresas_identificadas_complementadas[[#This Row],[cnpj]],empresas_filtradas[cnpj],empresas_filtradas[email])</f>
        <v>COMERCIAL@DIOXOXIGENIO.COM.BR</v>
      </c>
      <c r="Q278" t="str">
        <f>_xlfn.XLOOKUP(empresas_identificadas_complementadas[[#This Row],[cnpj]],empresas_filtradas!A:A,empresas_filtradas!M:M)</f>
        <v>Relação</v>
      </c>
    </row>
    <row r="279" spans="1:17" x14ac:dyDescent="0.25">
      <c r="A279">
        <v>4394125000285</v>
      </c>
      <c r="B279" t="s">
        <v>4</v>
      </c>
      <c r="C279" t="s">
        <v>739</v>
      </c>
      <c r="D279">
        <v>22640100</v>
      </c>
      <c r="E279" t="s">
        <v>27</v>
      </c>
      <c r="F279">
        <v>6001</v>
      </c>
      <c r="G279" t="s">
        <v>765</v>
      </c>
      <c r="H279" t="s">
        <v>753</v>
      </c>
      <c r="I279">
        <v>32.049999999999997</v>
      </c>
      <c r="J279">
        <v>-23.0049481</v>
      </c>
      <c r="K279">
        <v>-43.319152199999998</v>
      </c>
      <c r="L279" t="s">
        <v>742</v>
      </c>
      <c r="M279" t="s">
        <v>750</v>
      </c>
      <c r="N279" t="s">
        <v>27</v>
      </c>
      <c r="P279" t="str">
        <f>_xlfn.XLOOKUP(empresas_identificadas_complementadas[[#This Row],[cnpj]],empresas_filtradas[cnpj],empresas_filtradas[email])</f>
        <v/>
      </c>
      <c r="Q279" t="str">
        <f>_xlfn.XLOOKUP(empresas_identificadas_complementadas[[#This Row],[cnpj]],empresas_filtradas!A:A,empresas_filtradas!M:M)</f>
        <v>Sem Relação</v>
      </c>
    </row>
    <row r="280" spans="1:17" x14ac:dyDescent="0.25">
      <c r="A280">
        <v>9349221000144</v>
      </c>
      <c r="B280" t="s">
        <v>2</v>
      </c>
      <c r="C280" t="s">
        <v>751</v>
      </c>
      <c r="D280">
        <v>23570000</v>
      </c>
      <c r="E280" t="s">
        <v>27</v>
      </c>
      <c r="F280">
        <v>6001</v>
      </c>
      <c r="G280" t="s">
        <v>748</v>
      </c>
      <c r="H280" t="s">
        <v>749</v>
      </c>
      <c r="I280">
        <v>6.86</v>
      </c>
      <c r="J280">
        <v>-22.8952259</v>
      </c>
      <c r="K280">
        <v>-43.739815800000002</v>
      </c>
      <c r="L280" t="s">
        <v>742</v>
      </c>
      <c r="M280" t="s">
        <v>750</v>
      </c>
      <c r="N280" t="s">
        <v>27</v>
      </c>
      <c r="P280" t="str">
        <f>_xlfn.XLOOKUP(empresas_identificadas_complementadas[[#This Row],[cnpj]],empresas_filtradas[cnpj],empresas_filtradas[email])</f>
        <v>AIRLIQUIDE</v>
      </c>
      <c r="Q280" t="str">
        <f>_xlfn.XLOOKUP(empresas_identificadas_complementadas[[#This Row],[cnpj]],empresas_filtradas!A:A,empresas_filtradas!M:M)</f>
        <v>Não Planta</v>
      </c>
    </row>
    <row r="281" spans="1:17" x14ac:dyDescent="0.25">
      <c r="A281">
        <v>10636239000106</v>
      </c>
      <c r="B281" t="s">
        <v>2</v>
      </c>
      <c r="C281" t="s">
        <v>739</v>
      </c>
      <c r="D281">
        <v>13424480</v>
      </c>
      <c r="E281" t="s">
        <v>32</v>
      </c>
      <c r="F281">
        <v>6875</v>
      </c>
      <c r="G281" t="s">
        <v>752</v>
      </c>
      <c r="H281" t="s">
        <v>753</v>
      </c>
      <c r="I281">
        <v>52.44</v>
      </c>
      <c r="J281">
        <v>-22.725165000000001</v>
      </c>
      <c r="K281">
        <v>-47.649326899999998</v>
      </c>
      <c r="L281" t="s">
        <v>742</v>
      </c>
      <c r="M281" t="s">
        <v>791</v>
      </c>
      <c r="N281" t="s">
        <v>32</v>
      </c>
      <c r="O281" t="s">
        <v>755</v>
      </c>
      <c r="P281" t="str">
        <f>_xlfn.XLOOKUP(empresas_identificadas_complementadas[[#This Row],[cnpj]],empresas_filtradas[cnpj],empresas_filtradas[email])</f>
        <v>fiscoprevi@terra.com.br</v>
      </c>
      <c r="Q281" t="str">
        <f>_xlfn.XLOOKUP(empresas_identificadas_complementadas[[#This Row],[cnpj]],empresas_filtradas!A:A,empresas_filtradas!M:M)</f>
        <v>Sem Relação</v>
      </c>
    </row>
    <row r="282" spans="1:17" x14ac:dyDescent="0.25">
      <c r="A282">
        <v>11336057000182</v>
      </c>
      <c r="B282" t="s">
        <v>2</v>
      </c>
      <c r="D282">
        <v>14874002</v>
      </c>
      <c r="E282" t="s">
        <v>32</v>
      </c>
      <c r="F282">
        <v>6587</v>
      </c>
      <c r="G282" t="s">
        <v>745</v>
      </c>
      <c r="H282" t="s">
        <v>746</v>
      </c>
      <c r="I282">
        <v>172.12</v>
      </c>
      <c r="J282">
        <v>-21.252037000000001</v>
      </c>
      <c r="K282">
        <v>-48.325223000000001</v>
      </c>
      <c r="L282" t="s">
        <v>742</v>
      </c>
      <c r="M282" t="s">
        <v>922</v>
      </c>
      <c r="N282" t="s">
        <v>32</v>
      </c>
      <c r="O282" t="s">
        <v>755</v>
      </c>
      <c r="P282" t="str">
        <f>_xlfn.XLOOKUP(empresas_identificadas_complementadas[[#This Row],[cnpj]],empresas_filtradas[cnpj],empresas_filtradas[email])</f>
        <v>FINANCEIRO1@PRACTICEGASES.COM.BR</v>
      </c>
      <c r="Q282" t="str">
        <f>_xlfn.XLOOKUP(empresas_identificadas_complementadas[[#This Row],[cnpj]],empresas_filtradas!A:A,empresas_filtradas!M:M)</f>
        <v>Sem Relação</v>
      </c>
    </row>
    <row r="283" spans="1:17" x14ac:dyDescent="0.25">
      <c r="A283">
        <v>66358979000263</v>
      </c>
      <c r="B283" t="s">
        <v>2</v>
      </c>
      <c r="C283" t="s">
        <v>751</v>
      </c>
      <c r="D283">
        <v>32400001</v>
      </c>
      <c r="E283" t="s">
        <v>17</v>
      </c>
      <c r="F283">
        <v>4595</v>
      </c>
      <c r="G283" t="s">
        <v>788</v>
      </c>
      <c r="H283" t="s">
        <v>789</v>
      </c>
      <c r="I283">
        <v>6.48</v>
      </c>
      <c r="J283">
        <v>-20.030611799999999</v>
      </c>
      <c r="K283">
        <v>-44.057277599999999</v>
      </c>
      <c r="L283" t="s">
        <v>742</v>
      </c>
      <c r="M283" t="s">
        <v>923</v>
      </c>
      <c r="N283" t="s">
        <v>17</v>
      </c>
      <c r="P283" t="str">
        <f>_xlfn.XLOOKUP(empresas_identificadas_complementadas[[#This Row],[cnpj]],empresas_filtradas[cnpj],empresas_filtradas[email])</f>
        <v>CONTADOR@OXIMIL.COM.BR</v>
      </c>
      <c r="Q283" t="str">
        <f>_xlfn.XLOOKUP(empresas_identificadas_complementadas[[#This Row],[cnpj]],empresas_filtradas!A:A,empresas_filtradas!M:M)</f>
        <v>Relação</v>
      </c>
    </row>
    <row r="284" spans="1:17" x14ac:dyDescent="0.25">
      <c r="A284">
        <v>66358979000344</v>
      </c>
      <c r="B284" t="s">
        <v>2</v>
      </c>
      <c r="C284" t="s">
        <v>739</v>
      </c>
      <c r="D284">
        <v>13185000</v>
      </c>
      <c r="E284" t="s">
        <v>32</v>
      </c>
      <c r="F284">
        <v>2951</v>
      </c>
      <c r="G284" t="s">
        <v>752</v>
      </c>
      <c r="H284" t="s">
        <v>753</v>
      </c>
      <c r="I284">
        <v>16.93</v>
      </c>
      <c r="J284">
        <v>-22.8620175</v>
      </c>
      <c r="K284">
        <v>-47.2164219</v>
      </c>
      <c r="L284" t="s">
        <v>742</v>
      </c>
      <c r="M284" t="s">
        <v>906</v>
      </c>
      <c r="N284" t="s">
        <v>32</v>
      </c>
      <c r="O284" t="s">
        <v>755</v>
      </c>
      <c r="P284" t="str">
        <f>_xlfn.XLOOKUP(empresas_identificadas_complementadas[[#This Row],[cnpj]],empresas_filtradas[cnpj],empresas_filtradas[email])</f>
        <v>CONTADOR@OXIMIL.COM.BR</v>
      </c>
      <c r="Q284" t="str">
        <f>_xlfn.XLOOKUP(empresas_identificadas_complementadas[[#This Row],[cnpj]],empresas_filtradas!A:A,empresas_filtradas!M:M)</f>
        <v>Relação</v>
      </c>
    </row>
    <row r="285" spans="1:17" x14ac:dyDescent="0.25">
      <c r="A285">
        <v>51033340000150</v>
      </c>
      <c r="B285" t="s">
        <v>4</v>
      </c>
      <c r="C285" t="s">
        <v>751</v>
      </c>
      <c r="D285">
        <v>2283000</v>
      </c>
      <c r="E285" t="s">
        <v>32</v>
      </c>
      <c r="F285">
        <v>7107</v>
      </c>
      <c r="G285" t="s">
        <v>798</v>
      </c>
      <c r="H285" t="s">
        <v>799</v>
      </c>
      <c r="I285">
        <v>23</v>
      </c>
      <c r="J285">
        <v>-23.472062399999999</v>
      </c>
      <c r="K285">
        <v>-46.564289199999997</v>
      </c>
      <c r="L285" t="s">
        <v>742</v>
      </c>
      <c r="M285" t="s">
        <v>841</v>
      </c>
      <c r="N285" t="s">
        <v>32</v>
      </c>
      <c r="P285" t="str">
        <f>_xlfn.XLOOKUP(empresas_identificadas_complementadas[[#This Row],[cnpj]],empresas_filtradas[cnpj],empresas_filtradas[email])</f>
        <v>IMPERIALGASESBR@GMAIL.COM</v>
      </c>
      <c r="Q285" t="str">
        <f>_xlfn.XLOOKUP(empresas_identificadas_complementadas[[#This Row],[cnpj]],empresas_filtradas!A:A,empresas_filtradas!M:M)</f>
        <v>Sem Relação</v>
      </c>
    </row>
    <row r="286" spans="1:17" x14ac:dyDescent="0.25">
      <c r="A286">
        <v>54860514000146</v>
      </c>
      <c r="B286" t="s">
        <v>4</v>
      </c>
      <c r="C286" t="s">
        <v>739</v>
      </c>
      <c r="D286">
        <v>3707000</v>
      </c>
      <c r="E286" t="s">
        <v>32</v>
      </c>
      <c r="F286">
        <v>7107</v>
      </c>
      <c r="G286" t="s">
        <v>798</v>
      </c>
      <c r="H286" t="s">
        <v>799</v>
      </c>
      <c r="I286">
        <v>20.61</v>
      </c>
      <c r="J286">
        <v>-23.550650699999998</v>
      </c>
      <c r="K286">
        <v>-46.633382400000002</v>
      </c>
      <c r="L286" t="s">
        <v>742</v>
      </c>
      <c r="M286" t="s">
        <v>841</v>
      </c>
      <c r="N286" t="s">
        <v>32</v>
      </c>
      <c r="O286" t="s">
        <v>755</v>
      </c>
      <c r="P286" t="str">
        <f>_xlfn.XLOOKUP(empresas_identificadas_complementadas[[#This Row],[cnpj]],empresas_filtradas[cnpj],empresas_filtradas[email])</f>
        <v>MARCELO@HEURO.COM.BR</v>
      </c>
      <c r="Q286" t="str">
        <f>_xlfn.XLOOKUP(empresas_identificadas_complementadas[[#This Row],[cnpj]],empresas_filtradas!A:A,empresas_filtradas!M:M)</f>
        <v>Sem Relação</v>
      </c>
    </row>
    <row r="287" spans="1:17" x14ac:dyDescent="0.25">
      <c r="A287">
        <v>43311032000200</v>
      </c>
      <c r="B287" t="s">
        <v>4</v>
      </c>
      <c r="C287" t="s">
        <v>739</v>
      </c>
      <c r="D287">
        <v>1014907</v>
      </c>
      <c r="E287" t="s">
        <v>32</v>
      </c>
      <c r="F287">
        <v>7107</v>
      </c>
      <c r="G287" t="s">
        <v>775</v>
      </c>
      <c r="H287" t="s">
        <v>776</v>
      </c>
      <c r="I287">
        <v>40.1</v>
      </c>
      <c r="J287">
        <v>-23.834459299999999</v>
      </c>
      <c r="K287">
        <v>-46.820925000000003</v>
      </c>
      <c r="L287" t="s">
        <v>742</v>
      </c>
      <c r="M287" t="s">
        <v>841</v>
      </c>
      <c r="N287" t="s">
        <v>32</v>
      </c>
      <c r="P287" t="str">
        <f>_xlfn.XLOOKUP(empresas_identificadas_complementadas[[#This Row],[cnpj]],empresas_filtradas[cnpj],empresas_filtradas[email])</f>
        <v>EGARCIA@FMGL.COM.AU</v>
      </c>
      <c r="Q287" t="str">
        <f>_xlfn.XLOOKUP(empresas_identificadas_complementadas[[#This Row],[cnpj]],empresas_filtradas!A:A,empresas_filtradas!M:M)</f>
        <v>Não Planta</v>
      </c>
    </row>
    <row r="288" spans="1:17" x14ac:dyDescent="0.25">
      <c r="A288">
        <v>16685196000488</v>
      </c>
      <c r="B288" t="s">
        <v>2</v>
      </c>
      <c r="D288">
        <v>75911046</v>
      </c>
      <c r="E288" t="s">
        <v>173</v>
      </c>
      <c r="F288">
        <v>9571</v>
      </c>
      <c r="G288" t="s">
        <v>745</v>
      </c>
      <c r="H288" t="s">
        <v>746</v>
      </c>
      <c r="I288">
        <v>381.68</v>
      </c>
      <c r="J288">
        <v>-17.792125500000001</v>
      </c>
      <c r="K288">
        <v>-50.9191219</v>
      </c>
      <c r="L288" t="s">
        <v>742</v>
      </c>
      <c r="M288" t="s">
        <v>924</v>
      </c>
      <c r="N288" t="s">
        <v>173</v>
      </c>
      <c r="O288" t="s">
        <v>755</v>
      </c>
      <c r="P288" t="str">
        <f>_xlfn.XLOOKUP(empresas_identificadas_complementadas[[#This Row],[cnpj]],empresas_filtradas[cnpj],empresas_filtradas[email])</f>
        <v>MAURISMAR@OXYNOBRE.COM.BR</v>
      </c>
      <c r="Q288" t="str">
        <f>_xlfn.XLOOKUP(empresas_identificadas_complementadas[[#This Row],[cnpj]],empresas_filtradas!A:A,empresas_filtradas!M:M)</f>
        <v>Sem Relação</v>
      </c>
    </row>
    <row r="289" spans="1:17" x14ac:dyDescent="0.25">
      <c r="A289">
        <v>63220338000179</v>
      </c>
      <c r="B289" t="s">
        <v>2</v>
      </c>
      <c r="D289">
        <v>89620000</v>
      </c>
      <c r="E289" t="s">
        <v>65</v>
      </c>
      <c r="F289">
        <v>8069</v>
      </c>
      <c r="G289" t="s">
        <v>801</v>
      </c>
      <c r="H289" t="s">
        <v>802</v>
      </c>
      <c r="I289">
        <v>270.49</v>
      </c>
      <c r="J289">
        <v>-27.396290400000002</v>
      </c>
      <c r="K289">
        <v>-51.222439700000002</v>
      </c>
      <c r="L289" t="s">
        <v>742</v>
      </c>
      <c r="M289" t="s">
        <v>925</v>
      </c>
      <c r="N289" t="s">
        <v>65</v>
      </c>
      <c r="P289" t="str">
        <f>_xlfn.XLOOKUP(empresas_identificadas_complementadas[[#This Row],[cnpj]],empresas_filtradas[cnpj],empresas_filtradas[email])</f>
        <v>EUGENIODEVILA@GMAIL.COM</v>
      </c>
      <c r="Q289" t="str">
        <f>_xlfn.XLOOKUP(empresas_identificadas_complementadas[[#This Row],[cnpj]],empresas_filtradas!A:A,empresas_filtradas!M:M)</f>
        <v>Sem Relação</v>
      </c>
    </row>
    <row r="290" spans="1:17" x14ac:dyDescent="0.25">
      <c r="A290">
        <v>63293280000193</v>
      </c>
      <c r="B290" t="s">
        <v>4</v>
      </c>
      <c r="C290" t="s">
        <v>739</v>
      </c>
      <c r="D290">
        <v>1010000</v>
      </c>
      <c r="E290" t="s">
        <v>32</v>
      </c>
      <c r="F290">
        <v>7107</v>
      </c>
      <c r="G290" t="s">
        <v>798</v>
      </c>
      <c r="H290" t="s">
        <v>799</v>
      </c>
      <c r="I290">
        <v>9.5299999999999994</v>
      </c>
      <c r="J290">
        <v>-23.711664800000001</v>
      </c>
      <c r="K290">
        <v>-46.5446308</v>
      </c>
      <c r="L290" t="s">
        <v>742</v>
      </c>
      <c r="M290" t="s">
        <v>841</v>
      </c>
      <c r="N290" t="s">
        <v>32</v>
      </c>
      <c r="P290" t="str">
        <f>_xlfn.XLOOKUP(empresas_identificadas_complementadas[[#This Row],[cnpj]],empresas_filtradas[cnpj],empresas_filtradas[email])</f>
        <v>CHEFNEGOCIOS@ICLOUD.COM</v>
      </c>
      <c r="Q290" t="str">
        <f>_xlfn.XLOOKUP(empresas_identificadas_complementadas[[#This Row],[cnpj]],empresas_filtradas!A:A,empresas_filtradas!M:M)</f>
        <v>Sem Relação</v>
      </c>
    </row>
    <row r="291" spans="1:17" x14ac:dyDescent="0.25">
      <c r="A291">
        <v>64367266000150</v>
      </c>
      <c r="B291" t="s">
        <v>3</v>
      </c>
      <c r="C291" t="s">
        <v>739</v>
      </c>
      <c r="D291">
        <v>29140075</v>
      </c>
      <c r="E291" t="s">
        <v>49</v>
      </c>
      <c r="F291">
        <v>5625</v>
      </c>
      <c r="G291" t="s">
        <v>778</v>
      </c>
      <c r="H291" t="s">
        <v>779</v>
      </c>
      <c r="I291">
        <v>13.56</v>
      </c>
      <c r="J291">
        <v>-20.339574200000001</v>
      </c>
      <c r="K291">
        <v>-40.355457000000001</v>
      </c>
      <c r="L291" t="s">
        <v>742</v>
      </c>
      <c r="M291" t="s">
        <v>846</v>
      </c>
      <c r="N291" t="s">
        <v>49</v>
      </c>
      <c r="P291" t="str">
        <f>_xlfn.XLOOKUP(empresas_identificadas_complementadas[[#This Row],[cnpj]],empresas_filtradas[cnpj],empresas_filtradas[email])</f>
        <v>VITOR.COSTA@GRUPOSIMEC.COM.BR</v>
      </c>
      <c r="Q291" t="str">
        <f>_xlfn.XLOOKUP(empresas_identificadas_complementadas[[#This Row],[cnpj]],empresas_filtradas!A:A,empresas_filtradas!M:M)</f>
        <v>Sem Relação</v>
      </c>
    </row>
    <row r="292" spans="1:17" x14ac:dyDescent="0.25">
      <c r="A292">
        <v>1812143000160</v>
      </c>
      <c r="B292" t="s">
        <v>4</v>
      </c>
      <c r="D292">
        <v>98805675</v>
      </c>
      <c r="E292" t="s">
        <v>117</v>
      </c>
      <c r="F292">
        <v>8853</v>
      </c>
      <c r="G292" t="s">
        <v>771</v>
      </c>
      <c r="H292" t="s">
        <v>760</v>
      </c>
      <c r="I292">
        <v>330.02</v>
      </c>
      <c r="J292">
        <v>-28.300048100000001</v>
      </c>
      <c r="K292">
        <v>-54.266997099999998</v>
      </c>
      <c r="L292" t="s">
        <v>742</v>
      </c>
      <c r="M292" t="s">
        <v>926</v>
      </c>
      <c r="N292" t="s">
        <v>117</v>
      </c>
      <c r="O292" t="s">
        <v>755</v>
      </c>
      <c r="P292" t="str">
        <f>_xlfn.XLOOKUP(empresas_identificadas_complementadas[[#This Row],[cnpj]],empresas_filtradas[cnpj],empresas_filtradas[email])</f>
        <v/>
      </c>
      <c r="Q292" t="str">
        <f>_xlfn.XLOOKUP(empresas_identificadas_complementadas[[#This Row],[cnpj]],empresas_filtradas!A:A,empresas_filtradas!M:M)</f>
        <v>Sem Relação</v>
      </c>
    </row>
    <row r="293" spans="1:17" x14ac:dyDescent="0.25">
      <c r="A293">
        <v>63634596000100</v>
      </c>
      <c r="B293" t="s">
        <v>4</v>
      </c>
      <c r="C293" t="s">
        <v>744</v>
      </c>
      <c r="D293">
        <v>69058830</v>
      </c>
      <c r="E293" t="s">
        <v>114</v>
      </c>
      <c r="F293">
        <v>255</v>
      </c>
      <c r="G293" t="s">
        <v>784</v>
      </c>
      <c r="H293" t="s">
        <v>785</v>
      </c>
      <c r="I293">
        <v>1264.3499999999999</v>
      </c>
      <c r="J293">
        <v>-3.0580351000000001</v>
      </c>
      <c r="K293">
        <v>-60.025253200000002</v>
      </c>
      <c r="L293" t="s">
        <v>742</v>
      </c>
      <c r="M293" t="s">
        <v>892</v>
      </c>
      <c r="N293" t="s">
        <v>114</v>
      </c>
      <c r="P293" t="str">
        <f>_xlfn.XLOOKUP(empresas_identificadas_complementadas[[#This Row],[cnpj]],empresas_filtradas[cnpj],empresas_filtradas[email])</f>
        <v>TRIBUTARIOGS@GRUPOSIMOES.COM.BR</v>
      </c>
      <c r="Q293" t="str">
        <f>_xlfn.XLOOKUP(empresas_identificadas_complementadas[[#This Row],[cnpj]],empresas_filtradas!A:A,empresas_filtradas!M:M)</f>
        <v>Sem Relação</v>
      </c>
    </row>
    <row r="294" spans="1:17" x14ac:dyDescent="0.25">
      <c r="A294">
        <v>43843358002213</v>
      </c>
      <c r="B294" t="s">
        <v>3</v>
      </c>
      <c r="C294" t="s">
        <v>751</v>
      </c>
      <c r="D294">
        <v>81260230</v>
      </c>
      <c r="E294" t="s">
        <v>45</v>
      </c>
      <c r="F294">
        <v>7535</v>
      </c>
      <c r="G294" t="s">
        <v>801</v>
      </c>
      <c r="H294" t="s">
        <v>802</v>
      </c>
      <c r="I294">
        <v>22.09</v>
      </c>
      <c r="J294">
        <v>-25.4295963</v>
      </c>
      <c r="K294">
        <v>-49.271272400000001</v>
      </c>
      <c r="L294" t="s">
        <v>742</v>
      </c>
      <c r="M294" t="s">
        <v>803</v>
      </c>
      <c r="N294" t="s">
        <v>45</v>
      </c>
      <c r="O294" t="s">
        <v>755</v>
      </c>
      <c r="P294" t="str">
        <f>_xlfn.XLOOKUP(empresas_identificadas_complementadas[[#This Row],[cnpj]],empresas_filtradas[cnpj],empresas_filtradas[email])</f>
        <v>IMPNFE@AIRPRODUCTS.COM</v>
      </c>
      <c r="Q294" t="str">
        <f>_xlfn.XLOOKUP(empresas_identificadas_complementadas[[#This Row],[cnpj]],empresas_filtradas!A:A,empresas_filtradas!M:M)</f>
        <v>Potencial Planta</v>
      </c>
    </row>
    <row r="295" spans="1:17" x14ac:dyDescent="0.25">
      <c r="A295">
        <v>10365778000239</v>
      </c>
      <c r="B295" t="s">
        <v>2</v>
      </c>
      <c r="D295">
        <v>75340000</v>
      </c>
      <c r="E295" t="s">
        <v>173</v>
      </c>
      <c r="F295">
        <v>9389</v>
      </c>
      <c r="G295" t="s">
        <v>745</v>
      </c>
      <c r="H295" t="s">
        <v>746</v>
      </c>
      <c r="I295">
        <v>337.72</v>
      </c>
      <c r="J295">
        <v>-16.9671342</v>
      </c>
      <c r="K295">
        <v>-49.228259999999999</v>
      </c>
      <c r="L295" t="s">
        <v>742</v>
      </c>
      <c r="M295" t="s">
        <v>874</v>
      </c>
      <c r="N295" t="s">
        <v>173</v>
      </c>
      <c r="P295" t="str">
        <f>_xlfn.XLOOKUP(empresas_identificadas_complementadas[[#This Row],[cnpj]],empresas_filtradas[cnpj],empresas_filtradas[email])</f>
        <v>ca_contabilidade@hotmail.com</v>
      </c>
      <c r="Q295" t="str">
        <f>_xlfn.XLOOKUP(empresas_identificadas_complementadas[[#This Row],[cnpj]],empresas_filtradas!A:A,empresas_filtradas!M:M)</f>
        <v>Sem Relação</v>
      </c>
    </row>
    <row r="296" spans="1:17" x14ac:dyDescent="0.25">
      <c r="A296">
        <v>14767386000176</v>
      </c>
      <c r="B296" t="s">
        <v>2</v>
      </c>
      <c r="C296" t="s">
        <v>751</v>
      </c>
      <c r="D296">
        <v>55840000</v>
      </c>
      <c r="E296" t="s">
        <v>92</v>
      </c>
      <c r="F296">
        <v>2469</v>
      </c>
      <c r="G296" t="s">
        <v>796</v>
      </c>
      <c r="H296" t="s">
        <v>768</v>
      </c>
      <c r="I296">
        <v>27.55</v>
      </c>
      <c r="J296">
        <v>-8.1502694000000009</v>
      </c>
      <c r="K296">
        <v>-34.959928900000001</v>
      </c>
      <c r="L296" t="s">
        <v>742</v>
      </c>
      <c r="M296" t="s">
        <v>927</v>
      </c>
      <c r="N296" t="s">
        <v>92</v>
      </c>
      <c r="P296" t="str">
        <f>_xlfn.XLOOKUP(empresas_identificadas_complementadas[[#This Row],[cnpj]],empresas_filtradas[cnpj],empresas_filtradas[email])</f>
        <v>wluiz@petribusa.com.br</v>
      </c>
      <c r="Q296" t="str">
        <f>_xlfn.XLOOKUP(empresas_identificadas_complementadas[[#This Row],[cnpj]],empresas_filtradas!A:A,empresas_filtradas!M:M)</f>
        <v>Sem Relação</v>
      </c>
    </row>
    <row r="297" spans="1:17" x14ac:dyDescent="0.25">
      <c r="A297">
        <v>13788120001038</v>
      </c>
      <c r="B297" t="s">
        <v>2</v>
      </c>
      <c r="C297" t="s">
        <v>751</v>
      </c>
      <c r="D297">
        <v>42816140</v>
      </c>
      <c r="E297" t="s">
        <v>60</v>
      </c>
      <c r="F297">
        <v>3413</v>
      </c>
      <c r="G297" t="s">
        <v>759</v>
      </c>
      <c r="H297" t="s">
        <v>760</v>
      </c>
      <c r="I297">
        <v>3.35</v>
      </c>
      <c r="J297">
        <v>-12.6674855</v>
      </c>
      <c r="K297">
        <v>-38.314885799999999</v>
      </c>
      <c r="L297" t="s">
        <v>742</v>
      </c>
      <c r="M297" t="s">
        <v>761</v>
      </c>
      <c r="N297" t="s">
        <v>60</v>
      </c>
      <c r="P297" t="str">
        <f>_xlfn.XLOOKUP(empresas_identificadas_complementadas[[#This Row],[cnpj]],empresas_filtradas[cnpj],empresas_filtradas[email])</f>
        <v>FISCAL@ELEKEIROZ.COM.BR</v>
      </c>
      <c r="Q297" t="str">
        <f>_xlfn.XLOOKUP(empresas_identificadas_complementadas[[#This Row],[cnpj]],empresas_filtradas!A:A,empresas_filtradas!M:M)</f>
        <v>Planta</v>
      </c>
    </row>
    <row r="298" spans="1:17" x14ac:dyDescent="0.25">
      <c r="A298">
        <v>23376993000104</v>
      </c>
      <c r="B298" t="s">
        <v>2</v>
      </c>
      <c r="C298" t="s">
        <v>739</v>
      </c>
      <c r="D298">
        <v>27940290</v>
      </c>
      <c r="E298" t="s">
        <v>27</v>
      </c>
      <c r="F298">
        <v>5847</v>
      </c>
      <c r="G298" t="s">
        <v>816</v>
      </c>
      <c r="H298" t="s">
        <v>817</v>
      </c>
      <c r="I298">
        <v>23.25</v>
      </c>
      <c r="J298">
        <v>-22.282830499999999</v>
      </c>
      <c r="K298">
        <v>-41.9649091</v>
      </c>
      <c r="L298" t="s">
        <v>742</v>
      </c>
      <c r="M298" t="s">
        <v>818</v>
      </c>
      <c r="N298" t="s">
        <v>27</v>
      </c>
      <c r="O298" t="s">
        <v>755</v>
      </c>
      <c r="P298" t="str">
        <f>_xlfn.XLOOKUP(empresas_identificadas_complementadas[[#This Row],[cnpj]],empresas_filtradas[cnpj],empresas_filtradas[email])</f>
        <v>FINANCEIRO@SALLESOFFSHORE.COM.BR</v>
      </c>
      <c r="Q298" t="str">
        <f>_xlfn.XLOOKUP(empresas_identificadas_complementadas[[#This Row],[cnpj]],empresas_filtradas!A:A,empresas_filtradas!M:M)</f>
        <v>Relação</v>
      </c>
    </row>
    <row r="299" spans="1:17" x14ac:dyDescent="0.25">
      <c r="A299">
        <v>42280290000114</v>
      </c>
      <c r="B299" t="s">
        <v>2</v>
      </c>
      <c r="C299" t="s">
        <v>739</v>
      </c>
      <c r="D299">
        <v>1406200</v>
      </c>
      <c r="E299" t="s">
        <v>32</v>
      </c>
      <c r="F299">
        <v>7107</v>
      </c>
      <c r="G299" t="s">
        <v>798</v>
      </c>
      <c r="H299" t="s">
        <v>799</v>
      </c>
      <c r="I299">
        <v>22.44</v>
      </c>
      <c r="J299">
        <v>-23.576334500000002</v>
      </c>
      <c r="K299">
        <v>-46.670475699999997</v>
      </c>
      <c r="L299" t="s">
        <v>742</v>
      </c>
      <c r="M299" t="s">
        <v>841</v>
      </c>
      <c r="N299" t="s">
        <v>32</v>
      </c>
      <c r="P299" t="str">
        <f>_xlfn.XLOOKUP(empresas_identificadas_complementadas[[#This Row],[cnpj]],empresas_filtradas[cnpj],empresas_filtradas[email])</f>
        <v>CONTABILIDADE@FOCUSCONTADORES.COM</v>
      </c>
      <c r="Q299" t="str">
        <f>_xlfn.XLOOKUP(empresas_identificadas_complementadas[[#This Row],[cnpj]],empresas_filtradas!A:A,empresas_filtradas!M:M)</f>
        <v>Sem Relação</v>
      </c>
    </row>
    <row r="300" spans="1:17" x14ac:dyDescent="0.25">
      <c r="A300">
        <v>39795095000112</v>
      </c>
      <c r="B300" t="s">
        <v>2</v>
      </c>
      <c r="C300" t="s">
        <v>744</v>
      </c>
      <c r="D300">
        <v>19220000</v>
      </c>
      <c r="E300" t="s">
        <v>32</v>
      </c>
      <c r="F300">
        <v>6745</v>
      </c>
      <c r="G300" t="s">
        <v>801</v>
      </c>
      <c r="H300" t="s">
        <v>802</v>
      </c>
      <c r="I300">
        <v>413.98</v>
      </c>
      <c r="J300">
        <v>-22.407219999999999</v>
      </c>
      <c r="K300">
        <v>-51.524439999999998</v>
      </c>
      <c r="L300" t="s">
        <v>864</v>
      </c>
      <c r="M300" t="s">
        <v>959</v>
      </c>
      <c r="N300" t="s">
        <v>32</v>
      </c>
      <c r="P300" t="str">
        <f>_xlfn.XLOOKUP(empresas_identificadas_complementadas[[#This Row],[cnpj]],empresas_filtradas[cnpj],empresas_filtradas[email])</f>
        <v>CMOREIRA@COCAL.COM.BR</v>
      </c>
      <c r="Q300" t="str">
        <f>_xlfn.XLOOKUP(empresas_identificadas_complementadas[[#This Row],[cnpj]],empresas_filtradas!A:A,empresas_filtradas!M:M)</f>
        <v>Conceito de Planta</v>
      </c>
    </row>
    <row r="301" spans="1:17" x14ac:dyDescent="0.25">
      <c r="A301">
        <v>40667406000147</v>
      </c>
      <c r="B301" t="s">
        <v>3</v>
      </c>
      <c r="C301" t="s">
        <v>739</v>
      </c>
      <c r="D301">
        <v>1318903</v>
      </c>
      <c r="E301" t="s">
        <v>32</v>
      </c>
      <c r="F301">
        <v>7107</v>
      </c>
      <c r="G301" t="s">
        <v>798</v>
      </c>
      <c r="H301" t="s">
        <v>799</v>
      </c>
      <c r="I301">
        <v>20.9</v>
      </c>
      <c r="J301">
        <v>-23.563933500000001</v>
      </c>
      <c r="K301">
        <v>-46.646324300000003</v>
      </c>
      <c r="L301" t="s">
        <v>742</v>
      </c>
      <c r="M301" t="s">
        <v>841</v>
      </c>
      <c r="N301" t="s">
        <v>32</v>
      </c>
      <c r="P301" t="s">
        <v>954</v>
      </c>
      <c r="Q301" t="str">
        <f>_xlfn.XLOOKUP(empresas_identificadas_complementadas[[#This Row],[cnpj]],empresas_filtradas!A:A,empresas_filtradas!M:M)</f>
        <v>Conceito de Planta</v>
      </c>
    </row>
    <row r="302" spans="1:17" x14ac:dyDescent="0.25">
      <c r="A302">
        <v>37208123000122</v>
      </c>
      <c r="B302" t="s">
        <v>2</v>
      </c>
      <c r="D302">
        <v>69640000</v>
      </c>
      <c r="E302" t="s">
        <v>114</v>
      </c>
      <c r="F302">
        <v>9847</v>
      </c>
      <c r="G302" t="s">
        <v>784</v>
      </c>
      <c r="H302" t="s">
        <v>785</v>
      </c>
      <c r="I302">
        <v>2371.7600000000002</v>
      </c>
      <c r="J302">
        <v>-4.2247253999999996</v>
      </c>
      <c r="K302">
        <v>-69.936220199999994</v>
      </c>
      <c r="L302" t="s">
        <v>742</v>
      </c>
      <c r="M302" t="s">
        <v>928</v>
      </c>
      <c r="N302" t="s">
        <v>114</v>
      </c>
      <c r="P302" t="str">
        <f>_xlfn.XLOOKUP(empresas_identificadas_complementadas[[#This Row],[cnpj]],empresas_filtradas[cnpj],empresas_filtradas[email])</f>
        <v>VICTORWILLIAM67@HOTMAIL.COM</v>
      </c>
      <c r="Q302" t="str">
        <f>_xlfn.XLOOKUP(empresas_identificadas_complementadas[[#This Row],[cnpj]],empresas_filtradas!A:A,empresas_filtradas!M:M)</f>
        <v>Sem Relação</v>
      </c>
    </row>
    <row r="303" spans="1:17" x14ac:dyDescent="0.25">
      <c r="A303">
        <v>23376993000287</v>
      </c>
      <c r="B303" t="s">
        <v>4</v>
      </c>
      <c r="C303" t="s">
        <v>739</v>
      </c>
      <c r="D303">
        <v>27932105</v>
      </c>
      <c r="E303" t="s">
        <v>27</v>
      </c>
      <c r="F303">
        <v>5847</v>
      </c>
      <c r="G303" t="s">
        <v>816</v>
      </c>
      <c r="H303" t="s">
        <v>817</v>
      </c>
      <c r="I303">
        <v>23.25</v>
      </c>
      <c r="J303">
        <v>-22.282830499999999</v>
      </c>
      <c r="K303">
        <v>-41.9649091</v>
      </c>
      <c r="L303" t="s">
        <v>742</v>
      </c>
      <c r="M303" t="s">
        <v>818</v>
      </c>
      <c r="N303" t="s">
        <v>27</v>
      </c>
      <c r="O303" t="s">
        <v>755</v>
      </c>
      <c r="P303" t="str">
        <f>_xlfn.XLOOKUP(empresas_identificadas_complementadas[[#This Row],[cnpj]],empresas_filtradas[cnpj],empresas_filtradas[email])</f>
        <v>FINENCEIRO@SALLESOFFSHORE.COM.BR</v>
      </c>
      <c r="Q303" t="str">
        <f>_xlfn.XLOOKUP(empresas_identificadas_complementadas[[#This Row],[cnpj]],empresas_filtradas!A:A,empresas_filtradas!M:M)</f>
        <v>Relação</v>
      </c>
    </row>
    <row r="304" spans="1:17" x14ac:dyDescent="0.25">
      <c r="A304">
        <v>44605617000106</v>
      </c>
      <c r="B304" t="s">
        <v>2</v>
      </c>
      <c r="D304">
        <v>88020010</v>
      </c>
      <c r="E304" t="s">
        <v>65</v>
      </c>
      <c r="F304">
        <v>8105</v>
      </c>
      <c r="G304" t="s">
        <v>801</v>
      </c>
      <c r="H304" t="s">
        <v>802</v>
      </c>
      <c r="I304">
        <v>238.83</v>
      </c>
      <c r="J304">
        <v>-27.592946600000001</v>
      </c>
      <c r="K304">
        <v>-48.545314400000002</v>
      </c>
      <c r="L304" t="s">
        <v>742</v>
      </c>
      <c r="M304" t="s">
        <v>929</v>
      </c>
      <c r="N304" t="s">
        <v>65</v>
      </c>
      <c r="P304" t="str">
        <f>_xlfn.XLOOKUP(empresas_identificadas_complementadas[[#This Row],[cnpj]],empresas_filtradas[cnpj],empresas_filtradas[email])</f>
        <v>ROBERTOSTADLER@GMAIL.COM</v>
      </c>
      <c r="Q304" t="str">
        <f>_xlfn.XLOOKUP(empresas_identificadas_complementadas[[#This Row],[cnpj]],empresas_filtradas!A:A,empresas_filtradas!M:M)</f>
        <v>Sem Relação</v>
      </c>
    </row>
    <row r="305" spans="1:17" x14ac:dyDescent="0.25">
      <c r="A305">
        <v>46541567000176</v>
      </c>
      <c r="B305" t="s">
        <v>2</v>
      </c>
      <c r="C305" t="s">
        <v>739</v>
      </c>
      <c r="D305">
        <v>67030180</v>
      </c>
      <c r="E305" t="s">
        <v>78</v>
      </c>
      <c r="F305">
        <v>415</v>
      </c>
      <c r="G305" t="s">
        <v>784</v>
      </c>
      <c r="H305" t="s">
        <v>785</v>
      </c>
      <c r="I305">
        <v>46.33</v>
      </c>
      <c r="J305">
        <v>-1.3624267999999999</v>
      </c>
      <c r="K305">
        <v>-48.371184499999998</v>
      </c>
      <c r="L305" t="s">
        <v>742</v>
      </c>
      <c r="M305" t="s">
        <v>837</v>
      </c>
      <c r="N305" t="s">
        <v>78</v>
      </c>
      <c r="P305" t="str">
        <f>_xlfn.XLOOKUP(empresas_identificadas_complementadas[[#This Row],[cnpj]],empresas_filtradas[cnpj],empresas_filtradas[email])</f>
        <v>MATRIZ.AIRGAS@GMAIL.COM</v>
      </c>
      <c r="Q305" t="str">
        <f>_xlfn.XLOOKUP(empresas_identificadas_complementadas[[#This Row],[cnpj]],empresas_filtradas!A:A,empresas_filtradas!M:M)</f>
        <v>Relação</v>
      </c>
    </row>
    <row r="306" spans="1:17" x14ac:dyDescent="0.25">
      <c r="A306">
        <v>48195800000131</v>
      </c>
      <c r="B306" t="s">
        <v>2</v>
      </c>
      <c r="C306" t="s">
        <v>739</v>
      </c>
      <c r="D306">
        <v>30170008</v>
      </c>
      <c r="E306" t="s">
        <v>17</v>
      </c>
      <c r="F306">
        <v>4123</v>
      </c>
      <c r="G306" t="s">
        <v>788</v>
      </c>
      <c r="H306" t="s">
        <v>789</v>
      </c>
      <c r="I306">
        <v>9.18</v>
      </c>
      <c r="J306">
        <v>-19.932577899999998</v>
      </c>
      <c r="K306">
        <v>-43.949881499999996</v>
      </c>
      <c r="L306" t="s">
        <v>742</v>
      </c>
      <c r="M306" t="s">
        <v>859</v>
      </c>
      <c r="N306" t="s">
        <v>17</v>
      </c>
      <c r="P306" t="str">
        <f>_xlfn.XLOOKUP(empresas_identificadas_complementadas[[#This Row],[cnpj]],empresas_filtradas[cnpj],empresas_filtradas[email])</f>
        <v>CGF@SOLATIO.COM.BR</v>
      </c>
      <c r="Q306" t="str">
        <f>_xlfn.XLOOKUP(empresas_identificadas_complementadas[[#This Row],[cnpj]],empresas_filtradas!A:A,empresas_filtradas!M:M)</f>
        <v>Não Planta</v>
      </c>
    </row>
    <row r="307" spans="1:17" x14ac:dyDescent="0.25">
      <c r="A307">
        <v>27515154002116</v>
      </c>
      <c r="B307" t="s">
        <v>2</v>
      </c>
      <c r="C307" t="s">
        <v>739</v>
      </c>
      <c r="D307">
        <v>42816140</v>
      </c>
      <c r="E307" t="s">
        <v>60</v>
      </c>
      <c r="F307">
        <v>3413</v>
      </c>
      <c r="G307" t="s">
        <v>759</v>
      </c>
      <c r="H307" t="s">
        <v>760</v>
      </c>
      <c r="I307">
        <v>3.35</v>
      </c>
      <c r="J307">
        <v>-12.6674855</v>
      </c>
      <c r="K307">
        <v>-38.314885799999999</v>
      </c>
      <c r="L307" t="s">
        <v>742</v>
      </c>
      <c r="M307" t="s">
        <v>761</v>
      </c>
      <c r="N307" t="s">
        <v>60</v>
      </c>
      <c r="P307" t="str">
        <f>_xlfn.XLOOKUP(empresas_identificadas_complementadas[[#This Row],[cnpj]],empresas_filtradas[cnpj],empresas_filtradas[email])</f>
        <v>PEDRO.TEIXEIRA@UNIGEL.COM.BR</v>
      </c>
      <c r="Q307" t="str">
        <f>_xlfn.XLOOKUP(empresas_identificadas_complementadas[[#This Row],[cnpj]],empresas_filtradas!A:A,empresas_filtradas!M:M)</f>
        <v>Conceito de Planta</v>
      </c>
    </row>
    <row r="308" spans="1:17" x14ac:dyDescent="0.25">
      <c r="A308">
        <v>9043891000308</v>
      </c>
      <c r="B308" t="s">
        <v>2</v>
      </c>
      <c r="D308">
        <v>29918899</v>
      </c>
      <c r="E308" t="s">
        <v>49</v>
      </c>
      <c r="F308">
        <v>5663</v>
      </c>
      <c r="G308" t="s">
        <v>778</v>
      </c>
      <c r="H308" t="s">
        <v>779</v>
      </c>
      <c r="I308">
        <v>99.32</v>
      </c>
      <c r="J308">
        <v>-19.3796775</v>
      </c>
      <c r="K308">
        <v>-40.061008700000002</v>
      </c>
      <c r="L308" t="s">
        <v>742</v>
      </c>
      <c r="M308" t="s">
        <v>930</v>
      </c>
      <c r="N308" t="s">
        <v>49</v>
      </c>
      <c r="O308" t="s">
        <v>755</v>
      </c>
      <c r="P308" t="str">
        <f>_xlfn.XLOOKUP(empresas_identificadas_complementadas[[#This Row],[cnpj]],empresas_filtradas[cnpj],empresas_filtradas[email])</f>
        <v>FISCAL.NF@GRUPOJB.COM.BR</v>
      </c>
      <c r="Q308" t="str">
        <f>_xlfn.XLOOKUP(empresas_identificadas_complementadas[[#This Row],[cnpj]],empresas_filtradas!A:A,empresas_filtradas!M:M)</f>
        <v>Sem Relação</v>
      </c>
    </row>
    <row r="309" spans="1:17" x14ac:dyDescent="0.25">
      <c r="A309">
        <v>47847216000150</v>
      </c>
      <c r="B309" t="s">
        <v>2</v>
      </c>
      <c r="C309" t="s">
        <v>739</v>
      </c>
      <c r="D309">
        <v>60170021</v>
      </c>
      <c r="E309" t="s">
        <v>108</v>
      </c>
      <c r="F309">
        <v>1389</v>
      </c>
      <c r="G309" t="s">
        <v>767</v>
      </c>
      <c r="H309" t="s">
        <v>768</v>
      </c>
      <c r="I309">
        <v>40.659999999999997</v>
      </c>
      <c r="J309">
        <v>-3.7405105000000001</v>
      </c>
      <c r="K309">
        <v>-38.498623000000002</v>
      </c>
      <c r="L309" t="s">
        <v>742</v>
      </c>
      <c r="M309" t="s">
        <v>888</v>
      </c>
      <c r="N309" t="s">
        <v>108</v>
      </c>
      <c r="P309" t="str">
        <f>_xlfn.XLOOKUP(empresas_identificadas_complementadas[[#This Row],[cnpj]],empresas_filtradas[cnpj],empresas_filtradas[email])</f>
        <v>THIAGO.BORGES@APSV.COM.BR</v>
      </c>
      <c r="Q309" t="str">
        <f>_xlfn.XLOOKUP(empresas_identificadas_complementadas[[#This Row],[cnpj]],empresas_filtradas!A:A,empresas_filtradas!M:M)</f>
        <v>Sem Relação</v>
      </c>
    </row>
    <row r="310" spans="1:17" x14ac:dyDescent="0.25">
      <c r="A310">
        <v>54066651000103</v>
      </c>
      <c r="B310" t="s">
        <v>2</v>
      </c>
      <c r="C310" t="s">
        <v>739</v>
      </c>
      <c r="D310">
        <v>80540400</v>
      </c>
      <c r="E310" t="s">
        <v>45</v>
      </c>
      <c r="F310">
        <v>7535</v>
      </c>
      <c r="G310" t="s">
        <v>801</v>
      </c>
      <c r="H310" t="s">
        <v>802</v>
      </c>
      <c r="I310">
        <v>24.82</v>
      </c>
      <c r="J310">
        <v>-25.408803299999999</v>
      </c>
      <c r="K310">
        <v>-49.256660500000002</v>
      </c>
      <c r="L310" t="s">
        <v>742</v>
      </c>
      <c r="M310" t="s">
        <v>803</v>
      </c>
      <c r="N310" t="s">
        <v>45</v>
      </c>
      <c r="P310" t="str">
        <f>_xlfn.XLOOKUP(empresas_identificadas_complementadas[[#This Row],[cnpj]],empresas_filtradas[cnpj],empresas_filtradas[email])</f>
        <v>NICHOLAS.JOFFILY@GIACOMITTI.COM.BR</v>
      </c>
      <c r="Q310" t="str">
        <f>_xlfn.XLOOKUP(empresas_identificadas_complementadas[[#This Row],[cnpj]],empresas_filtradas!A:A,empresas_filtradas!M:M)</f>
        <v>Sem Relação</v>
      </c>
    </row>
    <row r="311" spans="1:17" x14ac:dyDescent="0.25">
      <c r="A311">
        <v>54200653000143</v>
      </c>
      <c r="B311" t="s">
        <v>2</v>
      </c>
      <c r="E311" t="s">
        <v>53</v>
      </c>
      <c r="F311">
        <v>9707</v>
      </c>
      <c r="P311" t="str">
        <f>_xlfn.XLOOKUP(empresas_identificadas_complementadas[[#This Row],[cnpj]],empresas_filtradas[cnpj],empresas_filtradas[email])</f>
        <v>BART@GEP-GLOBAL.COM</v>
      </c>
      <c r="Q311" t="str">
        <f>_xlfn.XLOOKUP(empresas_identificadas_complementadas[[#This Row],[cnpj]],empresas_filtradas!A:A,empresas_filtradas!M:M)</f>
        <v>Não Planta</v>
      </c>
    </row>
    <row r="312" spans="1:17" x14ac:dyDescent="0.25">
      <c r="A312">
        <v>61047369000144</v>
      </c>
      <c r="B312" t="s">
        <v>2</v>
      </c>
      <c r="C312" t="s">
        <v>739</v>
      </c>
      <c r="D312">
        <v>8022310</v>
      </c>
      <c r="E312" t="s">
        <v>32</v>
      </c>
      <c r="F312">
        <v>7107</v>
      </c>
      <c r="G312" t="s">
        <v>798</v>
      </c>
      <c r="H312" t="s">
        <v>799</v>
      </c>
      <c r="I312">
        <v>20.61</v>
      </c>
      <c r="J312">
        <v>-23.550650699999998</v>
      </c>
      <c r="K312">
        <v>-46.633382400000002</v>
      </c>
      <c r="L312" t="s">
        <v>742</v>
      </c>
      <c r="M312" t="s">
        <v>841</v>
      </c>
      <c r="N312" t="s">
        <v>32</v>
      </c>
      <c r="O312" t="s">
        <v>755</v>
      </c>
      <c r="P312" t="str">
        <f>_xlfn.XLOOKUP(empresas_identificadas_complementadas[[#This Row],[cnpj]],empresas_filtradas[cnpj],empresas_filtradas[email])</f>
        <v>BRUNO.GUEDES@DIOXHYCARBO.COM.BR</v>
      </c>
      <c r="Q312" t="str">
        <f>_xlfn.XLOOKUP(empresas_identificadas_complementadas[[#This Row],[cnpj]],empresas_filtradas!A:A,empresas_filtradas!M:M)</f>
        <v>Relação</v>
      </c>
    </row>
    <row r="313" spans="1:17" x14ac:dyDescent="0.25">
      <c r="A313">
        <v>2498631000108</v>
      </c>
      <c r="B313" t="s">
        <v>2</v>
      </c>
      <c r="D313">
        <v>18105008</v>
      </c>
      <c r="E313" t="s">
        <v>32</v>
      </c>
      <c r="F313">
        <v>7145</v>
      </c>
      <c r="G313" t="s">
        <v>752</v>
      </c>
      <c r="H313" t="s">
        <v>753</v>
      </c>
      <c r="I313">
        <v>80.78</v>
      </c>
      <c r="J313">
        <v>-23.4163575</v>
      </c>
      <c r="K313">
        <v>-47.3904608</v>
      </c>
      <c r="L313" t="s">
        <v>742</v>
      </c>
      <c r="M313" t="s">
        <v>931</v>
      </c>
      <c r="N313" t="s">
        <v>32</v>
      </c>
      <c r="P313" t="str">
        <f>_xlfn.XLOOKUP(empresas_identificadas_complementadas[[#This Row],[cnpj]],empresas_filtradas[cnpj],empresas_filtradas[email])</f>
        <v>LEGALIZACAO@FIDERECONTABIL.COM.BR</v>
      </c>
      <c r="Q313" t="str">
        <f>_xlfn.XLOOKUP(empresas_identificadas_complementadas[[#This Row],[cnpj]],empresas_filtradas!A:A,empresas_filtradas!M:M)</f>
        <v>Sem Relação</v>
      </c>
    </row>
    <row r="314" spans="1:17" x14ac:dyDescent="0.25">
      <c r="A314">
        <v>94015757000100</v>
      </c>
      <c r="B314" t="s">
        <v>2</v>
      </c>
      <c r="D314">
        <v>99718000</v>
      </c>
      <c r="E314" t="s">
        <v>117</v>
      </c>
      <c r="F314">
        <v>1154</v>
      </c>
      <c r="G314" t="s">
        <v>771</v>
      </c>
      <c r="H314" t="s">
        <v>760</v>
      </c>
      <c r="I314">
        <v>261.56</v>
      </c>
      <c r="J314">
        <v>-27.703438500000001</v>
      </c>
      <c r="K314">
        <v>-52.422017400000001</v>
      </c>
      <c r="L314" t="s">
        <v>742</v>
      </c>
      <c r="M314" t="s">
        <v>932</v>
      </c>
      <c r="N314" t="s">
        <v>117</v>
      </c>
      <c r="P314" t="str">
        <f>_xlfn.XLOOKUP(empresas_identificadas_complementadas[[#This Row],[cnpj]],empresas_filtradas[cnpj],empresas_filtradas[email])</f>
        <v>CONTATO@SOLDAALTOURUGUAI.COM.BR</v>
      </c>
      <c r="Q314" t="str">
        <f>_xlfn.XLOOKUP(empresas_identificadas_complementadas[[#This Row],[cnpj]],empresas_filtradas!A:A,empresas_filtradas!M:M)</f>
        <v>Sem Relação</v>
      </c>
    </row>
    <row r="315" spans="1:17" x14ac:dyDescent="0.25">
      <c r="A315">
        <v>19259496000140</v>
      </c>
      <c r="B315" t="s">
        <v>4</v>
      </c>
      <c r="C315" t="s">
        <v>744</v>
      </c>
      <c r="D315">
        <v>89620000</v>
      </c>
      <c r="E315" t="s">
        <v>65</v>
      </c>
      <c r="F315">
        <v>8069</v>
      </c>
      <c r="G315" t="s">
        <v>801</v>
      </c>
      <c r="H315" t="s">
        <v>802</v>
      </c>
      <c r="I315">
        <v>270.49</v>
      </c>
      <c r="J315">
        <v>-27.396290400000002</v>
      </c>
      <c r="K315">
        <v>-51.222439700000002</v>
      </c>
      <c r="L315" t="s">
        <v>742</v>
      </c>
      <c r="M315" t="s">
        <v>925</v>
      </c>
      <c r="N315" t="s">
        <v>65</v>
      </c>
      <c r="P315" t="str">
        <f>_xlfn.XLOOKUP(empresas_identificadas_complementadas[[#This Row],[cnpj]],empresas_filtradas[cnpj],empresas_filtradas[email])</f>
        <v>AIRMIX@AIRMIXGASES.COM.BR</v>
      </c>
      <c r="Q315" t="str">
        <f>_xlfn.XLOOKUP(empresas_identificadas_complementadas[[#This Row],[cnpj]],empresas_filtradas!A:A,empresas_filtradas!M:M)</f>
        <v>Sem Relação</v>
      </c>
    </row>
    <row r="316" spans="1:17" x14ac:dyDescent="0.25">
      <c r="A316">
        <v>5329135000380</v>
      </c>
      <c r="B316" t="s">
        <v>2</v>
      </c>
      <c r="C316" t="s">
        <v>739</v>
      </c>
      <c r="D316">
        <v>57100000</v>
      </c>
      <c r="E316" t="s">
        <v>19</v>
      </c>
      <c r="F316">
        <v>2853</v>
      </c>
      <c r="G316" t="s">
        <v>740</v>
      </c>
      <c r="H316" t="s">
        <v>741</v>
      </c>
      <c r="I316">
        <v>26.53</v>
      </c>
      <c r="J316">
        <v>-9.4778289999999998</v>
      </c>
      <c r="K316">
        <v>-35.839435000000002</v>
      </c>
      <c r="L316" t="s">
        <v>742</v>
      </c>
      <c r="M316" t="s">
        <v>933</v>
      </c>
      <c r="N316" t="s">
        <v>19</v>
      </c>
      <c r="P316" t="str">
        <f>_xlfn.XLOOKUP(empresas_identificadas_complementadas[[#This Row],[cnpj]],empresas_filtradas[cnpj],empresas_filtradas[email])</f>
        <v>HELOISAASSESSORIACONTABIL@HOTMAIL.COM</v>
      </c>
      <c r="Q316" t="str">
        <f>_xlfn.XLOOKUP(empresas_identificadas_complementadas[[#This Row],[cnpj]],empresas_filtradas!A:A,empresas_filtradas!M:M)</f>
        <v>Sem Relação</v>
      </c>
    </row>
    <row r="317" spans="1:17" x14ac:dyDescent="0.25">
      <c r="A317">
        <v>12520836000104</v>
      </c>
      <c r="B317" t="s">
        <v>2</v>
      </c>
      <c r="D317">
        <v>78149323</v>
      </c>
      <c r="E317" t="s">
        <v>23</v>
      </c>
      <c r="F317">
        <v>9167</v>
      </c>
      <c r="G317" t="s">
        <v>745</v>
      </c>
      <c r="H317" t="s">
        <v>746</v>
      </c>
      <c r="I317">
        <v>980.17</v>
      </c>
      <c r="J317">
        <v>-15.645816</v>
      </c>
      <c r="K317">
        <v>-56.132218000000002</v>
      </c>
      <c r="L317" t="s">
        <v>742</v>
      </c>
      <c r="M317" t="s">
        <v>934</v>
      </c>
      <c r="N317" t="s">
        <v>23</v>
      </c>
      <c r="O317" t="s">
        <v>755</v>
      </c>
      <c r="P317" t="str">
        <f>_xlfn.XLOOKUP(empresas_identificadas_complementadas[[#This Row],[cnpj]],empresas_filtradas[cnpj],empresas_filtradas[email])</f>
        <v>FINANCEIRO@INOVEOXIGENIO.COM.BR</v>
      </c>
      <c r="Q317" t="str">
        <f>_xlfn.XLOOKUP(empresas_identificadas_complementadas[[#This Row],[cnpj]],empresas_filtradas!A:A,empresas_filtradas!M:M)</f>
        <v>Sem Relação</v>
      </c>
    </row>
    <row r="318" spans="1:17" x14ac:dyDescent="0.25">
      <c r="A318">
        <v>19917881000219</v>
      </c>
      <c r="B318" t="s">
        <v>2</v>
      </c>
      <c r="C318" t="s">
        <v>744</v>
      </c>
      <c r="D318">
        <v>69089035</v>
      </c>
      <c r="E318" t="s">
        <v>114</v>
      </c>
      <c r="F318">
        <v>255</v>
      </c>
      <c r="G318" t="s">
        <v>784</v>
      </c>
      <c r="H318" t="s">
        <v>785</v>
      </c>
      <c r="I318">
        <v>1253.8699999999999</v>
      </c>
      <c r="J318">
        <v>-3.0867688000000002</v>
      </c>
      <c r="K318">
        <v>-59.926269099999999</v>
      </c>
      <c r="L318" t="s">
        <v>742</v>
      </c>
      <c r="M318" t="s">
        <v>892</v>
      </c>
      <c r="N318" t="s">
        <v>114</v>
      </c>
      <c r="P318" t="str">
        <f>_xlfn.XLOOKUP(empresas_identificadas_complementadas[[#This Row],[cnpj]],empresas_filtradas[cnpj],empresas_filtradas[email])</f>
        <v>CRISTINA-REZENDE.SILVA-1@CHEMOURS.COM</v>
      </c>
      <c r="Q318" t="str">
        <f>_xlfn.XLOOKUP(empresas_identificadas_complementadas[[#This Row],[cnpj]],empresas_filtradas!A:A,empresas_filtradas!M:M)</f>
        <v>Sem Relação</v>
      </c>
    </row>
    <row r="319" spans="1:17" x14ac:dyDescent="0.25">
      <c r="A319">
        <v>7312248000307</v>
      </c>
      <c r="B319" t="s">
        <v>2</v>
      </c>
      <c r="C319" t="s">
        <v>744</v>
      </c>
      <c r="D319">
        <v>69075010</v>
      </c>
      <c r="E319" t="s">
        <v>114</v>
      </c>
      <c r="F319">
        <v>255</v>
      </c>
      <c r="G319" t="s">
        <v>784</v>
      </c>
      <c r="H319" t="s">
        <v>785</v>
      </c>
      <c r="I319">
        <v>1258.1199999999999</v>
      </c>
      <c r="J319">
        <v>-3.1100981000000001</v>
      </c>
      <c r="K319">
        <v>-59.961730899999999</v>
      </c>
      <c r="L319" t="s">
        <v>742</v>
      </c>
      <c r="M319" t="s">
        <v>892</v>
      </c>
      <c r="N319" t="s">
        <v>114</v>
      </c>
      <c r="P319" t="str">
        <f>_xlfn.XLOOKUP(empresas_identificadas_complementadas[[#This Row],[cnpj]],empresas_filtradas[cnpj],empresas_filtradas[email])</f>
        <v/>
      </c>
      <c r="Q319" t="str">
        <f>_xlfn.XLOOKUP(empresas_identificadas_complementadas[[#This Row],[cnpj]],empresas_filtradas!A:A,empresas_filtradas!M:M)</f>
        <v>Sem Relação</v>
      </c>
    </row>
    <row r="320" spans="1:17" x14ac:dyDescent="0.25">
      <c r="A320">
        <v>29495341000167</v>
      </c>
      <c r="B320" t="s">
        <v>2</v>
      </c>
      <c r="D320">
        <v>18170000</v>
      </c>
      <c r="E320" t="s">
        <v>32</v>
      </c>
      <c r="F320">
        <v>6857</v>
      </c>
      <c r="G320" t="s">
        <v>798</v>
      </c>
      <c r="H320" t="s">
        <v>799</v>
      </c>
      <c r="I320">
        <v>96.97</v>
      </c>
      <c r="J320">
        <v>-23.7268115</v>
      </c>
      <c r="K320">
        <v>-47.419589700000003</v>
      </c>
      <c r="L320" t="s">
        <v>742</v>
      </c>
      <c r="P320" t="str">
        <f>_xlfn.XLOOKUP(empresas_identificadas_complementadas[[#This Row],[cnpj]],empresas_filtradas[cnpj],empresas_filtradas[email])</f>
        <v>FINANCEIRO@WSGASES.COM.BR</v>
      </c>
      <c r="Q320" t="str">
        <f>_xlfn.XLOOKUP(empresas_identificadas_complementadas[[#This Row],[cnpj]],empresas_filtradas!A:A,empresas_filtradas!M:M)</f>
        <v>Sem Relação</v>
      </c>
    </row>
    <row r="321" spans="1:17" x14ac:dyDescent="0.25">
      <c r="A321">
        <v>25975554000135</v>
      </c>
      <c r="B321" t="s">
        <v>2</v>
      </c>
      <c r="C321" t="s">
        <v>751</v>
      </c>
      <c r="D321">
        <v>60861118</v>
      </c>
      <c r="E321" t="s">
        <v>108</v>
      </c>
      <c r="F321">
        <v>1389</v>
      </c>
      <c r="G321" t="s">
        <v>767</v>
      </c>
      <c r="H321" t="s">
        <v>768</v>
      </c>
      <c r="I321">
        <v>41.92</v>
      </c>
      <c r="J321">
        <v>-3.7999070000000001</v>
      </c>
      <c r="K321">
        <v>-38.528564299999999</v>
      </c>
      <c r="L321" t="s">
        <v>742</v>
      </c>
      <c r="M321" t="s">
        <v>888</v>
      </c>
      <c r="N321" t="s">
        <v>108</v>
      </c>
      <c r="P321" t="str">
        <f>_xlfn.XLOOKUP(empresas_identificadas_complementadas[[#This Row],[cnpj]],empresas_filtradas[cnpj],empresas_filtradas[email])</f>
        <v>FINANCEIRO.SUPERGASES@UOL.COM.BR</v>
      </c>
      <c r="Q321" t="str">
        <f>_xlfn.XLOOKUP(empresas_identificadas_complementadas[[#This Row],[cnpj]],empresas_filtradas!A:A,empresas_filtradas!M:M)</f>
        <v>Sem Relação</v>
      </c>
    </row>
    <row r="322" spans="1:17" x14ac:dyDescent="0.25">
      <c r="A322">
        <v>36231310000164</v>
      </c>
      <c r="B322" t="s">
        <v>2</v>
      </c>
      <c r="C322" t="s">
        <v>739</v>
      </c>
      <c r="D322">
        <v>6315230</v>
      </c>
      <c r="E322" t="s">
        <v>32</v>
      </c>
      <c r="F322">
        <v>6313</v>
      </c>
      <c r="G322" t="s">
        <v>798</v>
      </c>
      <c r="H322" t="s">
        <v>799</v>
      </c>
      <c r="I322">
        <v>40.71</v>
      </c>
      <c r="J322">
        <v>-23.5234673</v>
      </c>
      <c r="K322">
        <v>-46.840680800000001</v>
      </c>
      <c r="L322" t="s">
        <v>742</v>
      </c>
      <c r="M322" t="s">
        <v>935</v>
      </c>
      <c r="N322" t="s">
        <v>32</v>
      </c>
      <c r="O322" t="s">
        <v>755</v>
      </c>
      <c r="P322" t="str">
        <f>_xlfn.XLOOKUP(empresas_identificadas_complementadas[[#This Row],[cnpj]],empresas_filtradas[cnpj],empresas_filtradas[email])</f>
        <v>GASMEDE@TERRA.COM.BR</v>
      </c>
      <c r="Q322" t="str">
        <f>_xlfn.XLOOKUP(empresas_identificadas_complementadas[[#This Row],[cnpj]],empresas_filtradas!A:A,empresas_filtradas!M:M)</f>
        <v>Relação</v>
      </c>
    </row>
    <row r="323" spans="1:17" x14ac:dyDescent="0.25">
      <c r="A323">
        <v>41534826000118</v>
      </c>
      <c r="B323" t="s">
        <v>3</v>
      </c>
      <c r="C323" t="s">
        <v>739</v>
      </c>
      <c r="D323">
        <v>83325030</v>
      </c>
      <c r="E323" t="s">
        <v>45</v>
      </c>
      <c r="F323">
        <v>5453</v>
      </c>
      <c r="G323" t="s">
        <v>801</v>
      </c>
      <c r="H323" t="s">
        <v>802</v>
      </c>
      <c r="I323">
        <v>28.86</v>
      </c>
      <c r="J323">
        <v>-25.413687199999998</v>
      </c>
      <c r="K323">
        <v>-49.191380899999999</v>
      </c>
      <c r="L323" t="s">
        <v>742</v>
      </c>
      <c r="M323" t="s">
        <v>936</v>
      </c>
      <c r="N323" t="s">
        <v>45</v>
      </c>
      <c r="P323" t="str">
        <f>_xlfn.XLOOKUP(empresas_identificadas_complementadas[[#This Row],[cnpj]],empresas_filtradas[cnpj],empresas_filtradas[email])</f>
        <v>BRGASESINDUSTRIAIS@GMAIL.COM</v>
      </c>
      <c r="Q323" t="str">
        <f>_xlfn.XLOOKUP(empresas_identificadas_complementadas[[#This Row],[cnpj]],empresas_filtradas!A:A,empresas_filtradas!M:M)</f>
        <v>Sem Relação</v>
      </c>
    </row>
    <row r="324" spans="1:17" x14ac:dyDescent="0.25">
      <c r="A324">
        <v>44254786000149</v>
      </c>
      <c r="B324" t="s">
        <v>2</v>
      </c>
      <c r="D324">
        <v>71225000</v>
      </c>
      <c r="E324" t="s">
        <v>40</v>
      </c>
      <c r="F324">
        <v>9701</v>
      </c>
      <c r="G324" t="s">
        <v>745</v>
      </c>
      <c r="H324" t="s">
        <v>746</v>
      </c>
      <c r="I324">
        <v>439.6</v>
      </c>
      <c r="J324">
        <v>-15.7939869</v>
      </c>
      <c r="K324">
        <v>-47.882800000000003</v>
      </c>
      <c r="L324" t="s">
        <v>742</v>
      </c>
      <c r="M324" t="s">
        <v>757</v>
      </c>
      <c r="N324" t="s">
        <v>40</v>
      </c>
      <c r="O324" t="s">
        <v>755</v>
      </c>
      <c r="P324" t="str">
        <f>_xlfn.XLOOKUP(empresas_identificadas_complementadas[[#This Row],[cnpj]],empresas_filtradas[cnpj],empresas_filtradas[email])</f>
        <v>DESPACHANTE@BRASCONT.COM.BR</v>
      </c>
      <c r="Q324" t="str">
        <f>_xlfn.XLOOKUP(empresas_identificadas_complementadas[[#This Row],[cnpj]],empresas_filtradas!A:A,empresas_filtradas!M:M)</f>
        <v>Sem Relação</v>
      </c>
    </row>
    <row r="325" spans="1:17" x14ac:dyDescent="0.25">
      <c r="A325">
        <v>4888219000200</v>
      </c>
      <c r="B325" t="s">
        <v>2</v>
      </c>
      <c r="C325" t="s">
        <v>744</v>
      </c>
      <c r="D325">
        <v>29918899</v>
      </c>
      <c r="E325" t="s">
        <v>49</v>
      </c>
      <c r="F325">
        <v>5663</v>
      </c>
      <c r="G325" t="s">
        <v>778</v>
      </c>
      <c r="H325" t="s">
        <v>779</v>
      </c>
      <c r="I325">
        <v>99.32</v>
      </c>
      <c r="J325">
        <v>-19.3796775</v>
      </c>
      <c r="K325">
        <v>-40.061008700000002</v>
      </c>
      <c r="L325" t="s">
        <v>742</v>
      </c>
      <c r="M325" t="s">
        <v>930</v>
      </c>
      <c r="N325" t="s">
        <v>49</v>
      </c>
      <c r="O325" t="s">
        <v>755</v>
      </c>
      <c r="P325" t="str">
        <f>_xlfn.XLOOKUP(empresas_identificadas_complementadas[[#This Row],[cnpj]],empresas_filtradas[cnpj],empresas_filtradas[email])</f>
        <v>FISCAL.NF@GRUPOJB.COM.BR</v>
      </c>
      <c r="Q325" t="str">
        <f>_xlfn.XLOOKUP(empresas_identificadas_complementadas[[#This Row],[cnpj]],empresas_filtradas!A:A,empresas_filtradas!M:M)</f>
        <v>Sem Relação</v>
      </c>
    </row>
    <row r="326" spans="1:17" x14ac:dyDescent="0.25">
      <c r="A326">
        <v>55794907000161</v>
      </c>
      <c r="B326" t="s">
        <v>4</v>
      </c>
      <c r="C326" t="s">
        <v>739</v>
      </c>
      <c r="D326">
        <v>60055170</v>
      </c>
      <c r="E326" t="s">
        <v>108</v>
      </c>
      <c r="F326">
        <v>1389</v>
      </c>
      <c r="G326" t="s">
        <v>767</v>
      </c>
      <c r="H326" t="s">
        <v>768</v>
      </c>
      <c r="I326">
        <v>37.85</v>
      </c>
      <c r="J326">
        <v>-3.7340624999999998</v>
      </c>
      <c r="K326">
        <v>-38.524494300000001</v>
      </c>
      <c r="L326" t="s">
        <v>742</v>
      </c>
      <c r="M326" t="s">
        <v>888</v>
      </c>
      <c r="N326" t="s">
        <v>108</v>
      </c>
      <c r="P326" t="str">
        <f>_xlfn.XLOOKUP(empresas_identificadas_complementadas[[#This Row],[cnpj]],empresas_filtradas[cnpj],empresas_filtradas[email])</f>
        <v>COORD.PARALEGAL@SECRAN.COM.BR</v>
      </c>
      <c r="Q326" t="str">
        <f>_xlfn.XLOOKUP(empresas_identificadas_complementadas[[#This Row],[cnpj]],empresas_filtradas!A:A,empresas_filtradas!M:M)</f>
        <v>Relação</v>
      </c>
    </row>
    <row r="327" spans="1:17" x14ac:dyDescent="0.25">
      <c r="A327">
        <v>59632999000134</v>
      </c>
      <c r="B327" t="s">
        <v>4</v>
      </c>
      <c r="C327" t="s">
        <v>739</v>
      </c>
      <c r="D327">
        <v>27325001</v>
      </c>
      <c r="E327" t="s">
        <v>27</v>
      </c>
      <c r="F327">
        <v>5807</v>
      </c>
      <c r="G327" t="s">
        <v>828</v>
      </c>
      <c r="H327" t="s">
        <v>749</v>
      </c>
      <c r="I327">
        <v>5.54</v>
      </c>
      <c r="J327">
        <v>-22.541837699999999</v>
      </c>
      <c r="K327">
        <v>-44.153972099999997</v>
      </c>
      <c r="L327" t="s">
        <v>742</v>
      </c>
      <c r="M327" t="s">
        <v>885</v>
      </c>
      <c r="N327" t="s">
        <v>27</v>
      </c>
      <c r="P327" t="str">
        <f>_xlfn.XLOOKUP(empresas_identificadas_complementadas[[#This Row],[cnpj]],empresas_filtradas[cnpj],empresas_filtradas[email])</f>
        <v>LEGALIZACAO@EDVALDOCONTABILIDADE.CNT.BR</v>
      </c>
      <c r="Q327" t="str">
        <f>_xlfn.XLOOKUP(empresas_identificadas_complementadas[[#This Row],[cnpj]],empresas_filtradas!A:A,empresas_filtradas!M:M)</f>
        <v>Sem Relação</v>
      </c>
    </row>
    <row r="328" spans="1:17" x14ac:dyDescent="0.25">
      <c r="A328">
        <v>941837000135</v>
      </c>
      <c r="B328" t="s">
        <v>2</v>
      </c>
      <c r="D328">
        <v>76982156</v>
      </c>
      <c r="E328" t="s">
        <v>167</v>
      </c>
      <c r="F328">
        <v>13</v>
      </c>
      <c r="G328" t="s">
        <v>745</v>
      </c>
      <c r="H328" t="s">
        <v>746</v>
      </c>
      <c r="I328">
        <v>1517.53</v>
      </c>
      <c r="J328">
        <v>-12.7368536</v>
      </c>
      <c r="K328">
        <v>-60.146555499999998</v>
      </c>
      <c r="L328" t="s">
        <v>742</v>
      </c>
      <c r="M328" t="s">
        <v>937</v>
      </c>
      <c r="N328" t="s">
        <v>167</v>
      </c>
      <c r="O328" t="s">
        <v>755</v>
      </c>
      <c r="P328" t="str">
        <f>_xlfn.XLOOKUP(empresas_identificadas_complementadas[[#This Row],[cnpj]],empresas_filtradas[cnpj],empresas_filtradas[email])</f>
        <v>OXIGENIOVILHENA@HOTMAIL.COM</v>
      </c>
      <c r="Q328" t="str">
        <f>_xlfn.XLOOKUP(empresas_identificadas_complementadas[[#This Row],[cnpj]],empresas_filtradas!A:A,empresas_filtradas!M:M)</f>
        <v>Sem Relação</v>
      </c>
    </row>
    <row r="329" spans="1:17" x14ac:dyDescent="0.25">
      <c r="A329">
        <v>7654168000160</v>
      </c>
      <c r="B329" t="s">
        <v>2</v>
      </c>
      <c r="D329">
        <v>77060840</v>
      </c>
      <c r="E329" t="s">
        <v>548</v>
      </c>
      <c r="F329">
        <v>9733</v>
      </c>
      <c r="G329" t="s">
        <v>784</v>
      </c>
      <c r="H329" t="s">
        <v>785</v>
      </c>
      <c r="I329">
        <v>961.82</v>
      </c>
      <c r="J329">
        <v>-10.183785200000001</v>
      </c>
      <c r="K329">
        <v>-48.333642300000001</v>
      </c>
      <c r="L329" t="s">
        <v>742</v>
      </c>
      <c r="M329" t="s">
        <v>938</v>
      </c>
      <c r="N329" t="s">
        <v>548</v>
      </c>
      <c r="O329" t="s">
        <v>755</v>
      </c>
      <c r="P329" t="str">
        <f>_xlfn.XLOOKUP(empresas_identificadas_complementadas[[#This Row],[cnpj]],empresas_filtradas[cnpj],empresas_filtradas[email])</f>
        <v>NITROXIOXIGENIO@YAHOO.COM.BR</v>
      </c>
      <c r="Q329" t="str">
        <f>_xlfn.XLOOKUP(empresas_identificadas_complementadas[[#This Row],[cnpj]],empresas_filtradas!A:A,empresas_filtradas!M:M)</f>
        <v>Sem Relação</v>
      </c>
    </row>
    <row r="330" spans="1:17" x14ac:dyDescent="0.25">
      <c r="A330">
        <v>22298504000172</v>
      </c>
      <c r="B330" t="s">
        <v>2</v>
      </c>
      <c r="C330" t="s">
        <v>744</v>
      </c>
      <c r="D330">
        <v>69019400</v>
      </c>
      <c r="E330" t="s">
        <v>114</v>
      </c>
      <c r="F330">
        <v>255</v>
      </c>
      <c r="G330" t="s">
        <v>784</v>
      </c>
      <c r="H330" t="s">
        <v>785</v>
      </c>
      <c r="I330">
        <v>1261.5899999999999</v>
      </c>
      <c r="J330">
        <v>-2.9469862999999998</v>
      </c>
      <c r="K330">
        <v>-60.014118400000001</v>
      </c>
      <c r="L330" t="s">
        <v>742</v>
      </c>
      <c r="M330" t="s">
        <v>892</v>
      </c>
      <c r="N330" t="s">
        <v>114</v>
      </c>
      <c r="P330" t="str">
        <f>_xlfn.XLOOKUP(empresas_identificadas_complementadas[[#This Row],[cnpj]],empresas_filtradas[cnpj],empresas_filtradas[email])</f>
        <v>CONT01@GBRINGEL.COM</v>
      </c>
      <c r="Q330" t="str">
        <f>_xlfn.XLOOKUP(empresas_identificadas_complementadas[[#This Row],[cnpj]],empresas_filtradas!A:A,empresas_filtradas!M:M)</f>
        <v>Relação</v>
      </c>
    </row>
    <row r="331" spans="1:17" x14ac:dyDescent="0.25">
      <c r="A331">
        <v>14444932000138</v>
      </c>
      <c r="B331" t="s">
        <v>2</v>
      </c>
      <c r="C331" t="s">
        <v>751</v>
      </c>
      <c r="D331">
        <v>12072340</v>
      </c>
      <c r="E331" t="s">
        <v>32</v>
      </c>
      <c r="F331">
        <v>7183</v>
      </c>
      <c r="G331" t="s">
        <v>793</v>
      </c>
      <c r="H331" t="s">
        <v>794</v>
      </c>
      <c r="I331">
        <v>58.23</v>
      </c>
      <c r="J331">
        <v>-22.988830400000001</v>
      </c>
      <c r="K331">
        <v>-45.5109882</v>
      </c>
      <c r="L331" t="s">
        <v>742</v>
      </c>
      <c r="M331" t="s">
        <v>813</v>
      </c>
      <c r="N331" t="s">
        <v>32</v>
      </c>
      <c r="P331" t="str">
        <f>_xlfn.XLOOKUP(empresas_identificadas_complementadas[[#This Row],[cnpj]],empresas_filtradas[cnpj],empresas_filtradas[email])</f>
        <v>LEGALIZACAO@EFECONTABILIDADE.COM.BR</v>
      </c>
      <c r="Q331" t="str">
        <f>_xlfn.XLOOKUP(empresas_identificadas_complementadas[[#This Row],[cnpj]],empresas_filtradas!A:A,empresas_filtradas!M:M)</f>
        <v>Relação</v>
      </c>
    </row>
    <row r="332" spans="1:17" x14ac:dyDescent="0.25">
      <c r="A332">
        <v>29171025000130</v>
      </c>
      <c r="B332" t="s">
        <v>2</v>
      </c>
      <c r="D332">
        <v>69043210</v>
      </c>
      <c r="E332" t="s">
        <v>114</v>
      </c>
      <c r="F332">
        <v>255</v>
      </c>
      <c r="G332" t="s">
        <v>784</v>
      </c>
      <c r="H332" t="s">
        <v>785</v>
      </c>
      <c r="I332">
        <v>1265.97</v>
      </c>
      <c r="J332">
        <v>-3.0742029999999998</v>
      </c>
      <c r="K332">
        <v>-60.037813700000001</v>
      </c>
      <c r="L332" t="s">
        <v>742</v>
      </c>
      <c r="M332" t="s">
        <v>892</v>
      </c>
      <c r="N332" t="s">
        <v>114</v>
      </c>
      <c r="P332" t="str">
        <f>_xlfn.XLOOKUP(empresas_identificadas_complementadas[[#This Row],[cnpj]],empresas_filtradas[cnpj],empresas_filtradas[email])</f>
        <v>VIPGASES@GMAIL.COM</v>
      </c>
      <c r="Q332" t="str">
        <f>_xlfn.XLOOKUP(empresas_identificadas_complementadas[[#This Row],[cnpj]],empresas_filtradas!A:A,empresas_filtradas!M:M)</f>
        <v>Sem Relação</v>
      </c>
    </row>
    <row r="333" spans="1:17" x14ac:dyDescent="0.25">
      <c r="A333">
        <v>34758163000150</v>
      </c>
      <c r="B333" t="s">
        <v>4</v>
      </c>
      <c r="C333" t="s">
        <v>739</v>
      </c>
      <c r="D333">
        <v>24868352</v>
      </c>
      <c r="E333" t="s">
        <v>27</v>
      </c>
      <c r="F333">
        <v>5837</v>
      </c>
      <c r="G333" t="s">
        <v>765</v>
      </c>
      <c r="H333" t="s">
        <v>753</v>
      </c>
      <c r="I333">
        <v>42.89</v>
      </c>
      <c r="J333">
        <v>-22.749623100000001</v>
      </c>
      <c r="K333">
        <v>-42.855742800000002</v>
      </c>
      <c r="L333" t="s">
        <v>742</v>
      </c>
      <c r="M333" t="s">
        <v>823</v>
      </c>
      <c r="N333" t="s">
        <v>27</v>
      </c>
      <c r="O333" t="s">
        <v>755</v>
      </c>
      <c r="P333" t="str">
        <f>_xlfn.XLOOKUP(empresas_identificadas_complementadas[[#This Row],[cnpj]],empresas_filtradas[cnpj],empresas_filtradas[email])</f>
        <v>FINANCEIRO@AURORABOREALGASES.COM.BR</v>
      </c>
      <c r="Q333" t="str">
        <f>_xlfn.XLOOKUP(empresas_identificadas_complementadas[[#This Row],[cnpj]],empresas_filtradas!A:A,empresas_filtradas!M:M)</f>
        <v>Sem Relação</v>
      </c>
    </row>
    <row r="334" spans="1:17" x14ac:dyDescent="0.25">
      <c r="A334">
        <v>35694639000107</v>
      </c>
      <c r="B334" t="s">
        <v>4</v>
      </c>
      <c r="D334">
        <v>78099899</v>
      </c>
      <c r="E334" t="s">
        <v>23</v>
      </c>
      <c r="F334">
        <v>9067</v>
      </c>
      <c r="G334" t="s">
        <v>745</v>
      </c>
      <c r="H334" t="s">
        <v>746</v>
      </c>
      <c r="I334">
        <v>979.62</v>
      </c>
      <c r="J334">
        <v>-15.5986686</v>
      </c>
      <c r="K334">
        <v>-56.099130099999996</v>
      </c>
      <c r="L334" t="s">
        <v>742</v>
      </c>
      <c r="M334" t="s">
        <v>747</v>
      </c>
      <c r="N334" t="s">
        <v>23</v>
      </c>
      <c r="O334" t="s">
        <v>755</v>
      </c>
      <c r="P334" t="str">
        <f>_xlfn.XLOOKUP(empresas_identificadas_complementadas[[#This Row],[cnpj]],empresas_filtradas[cnpj],empresas_filtradas[email])</f>
        <v>OXITEMCUIABA@GMAIL.COM</v>
      </c>
      <c r="Q334" t="str">
        <f>_xlfn.XLOOKUP(empresas_identificadas_complementadas[[#This Row],[cnpj]],empresas_filtradas!A:A,empresas_filtradas!M:M)</f>
        <v>Relação</v>
      </c>
    </row>
    <row r="335" spans="1:17" x14ac:dyDescent="0.25">
      <c r="A335">
        <v>39505049000131</v>
      </c>
      <c r="B335" t="s">
        <v>2</v>
      </c>
      <c r="C335" t="s">
        <v>744</v>
      </c>
      <c r="D335">
        <v>77823762</v>
      </c>
      <c r="E335" t="s">
        <v>548</v>
      </c>
      <c r="F335">
        <v>9241</v>
      </c>
      <c r="G335" t="s">
        <v>784</v>
      </c>
      <c r="H335" t="s">
        <v>785</v>
      </c>
      <c r="I335">
        <v>631.09</v>
      </c>
      <c r="J335">
        <v>-7.1936574000000002</v>
      </c>
      <c r="K335">
        <v>-48.206464500000003</v>
      </c>
      <c r="L335" t="s">
        <v>742</v>
      </c>
      <c r="M335" t="s">
        <v>939</v>
      </c>
      <c r="N335" t="s">
        <v>548</v>
      </c>
      <c r="O335" t="s">
        <v>755</v>
      </c>
      <c r="P335" t="str">
        <f>_xlfn.XLOOKUP(empresas_identificadas_complementadas[[#This Row],[cnpj]],empresas_filtradas[cnpj],empresas_filtradas[email])</f>
        <v>DIRETORIA.AIRGAS@GMAIL.COM</v>
      </c>
      <c r="Q335" t="str">
        <f>_xlfn.XLOOKUP(empresas_identificadas_complementadas[[#This Row],[cnpj]],empresas_filtradas!A:A,empresas_filtradas!M:M)</f>
        <v>Sem Relação</v>
      </c>
    </row>
    <row r="336" spans="1:17" x14ac:dyDescent="0.25">
      <c r="A336">
        <v>42009640000102</v>
      </c>
      <c r="B336" t="s">
        <v>3</v>
      </c>
      <c r="D336">
        <v>72901485</v>
      </c>
      <c r="E336" t="s">
        <v>173</v>
      </c>
      <c r="F336">
        <v>9677</v>
      </c>
      <c r="G336" t="s">
        <v>745</v>
      </c>
      <c r="H336" t="s">
        <v>746</v>
      </c>
      <c r="I336">
        <v>425.3</v>
      </c>
      <c r="J336">
        <v>-15.936170600000001</v>
      </c>
      <c r="K336">
        <v>-48.282607400000003</v>
      </c>
      <c r="L336" t="s">
        <v>742</v>
      </c>
      <c r="M336" t="s">
        <v>940</v>
      </c>
      <c r="N336" t="s">
        <v>173</v>
      </c>
      <c r="P336" t="str">
        <f>_xlfn.XLOOKUP(empresas_identificadas_complementadas[[#This Row],[cnpj]],empresas_filtradas[cnpj],empresas_filtradas[email])</f>
        <v>COMERCIAL@OXIGENIOECIA.COM.BR</v>
      </c>
      <c r="Q336" t="str">
        <f>_xlfn.XLOOKUP(empresas_identificadas_complementadas[[#This Row],[cnpj]],empresas_filtradas!A:A,empresas_filtradas!M:M)</f>
        <v>Sem Relação</v>
      </c>
    </row>
    <row r="337" spans="1:17" x14ac:dyDescent="0.25">
      <c r="A337">
        <v>43311032000110</v>
      </c>
      <c r="B337" t="s">
        <v>2</v>
      </c>
      <c r="C337" t="s">
        <v>751</v>
      </c>
      <c r="D337">
        <v>1014907</v>
      </c>
      <c r="E337" t="s">
        <v>32</v>
      </c>
      <c r="F337">
        <v>7107</v>
      </c>
      <c r="G337" t="s">
        <v>775</v>
      </c>
      <c r="H337" t="s">
        <v>776</v>
      </c>
      <c r="I337">
        <v>40.1</v>
      </c>
      <c r="J337">
        <v>-23.834459299999999</v>
      </c>
      <c r="K337">
        <v>-46.820925000000003</v>
      </c>
      <c r="L337" t="s">
        <v>742</v>
      </c>
      <c r="M337" t="s">
        <v>841</v>
      </c>
      <c r="N337" t="s">
        <v>32</v>
      </c>
      <c r="P337" t="str">
        <f>_xlfn.XLOOKUP(empresas_identificadas_complementadas[[#This Row],[cnpj]],empresas_filtradas[cnpj],empresas_filtradas[email])</f>
        <v>BRAZILINVOICES@FORTESCUE.COM</v>
      </c>
      <c r="Q337" t="str">
        <f>_xlfn.XLOOKUP(empresas_identificadas_complementadas[[#This Row],[cnpj]],empresas_filtradas!A:A,empresas_filtradas!M:M)</f>
        <v>Conceito de Planta</v>
      </c>
    </row>
    <row r="338" spans="1:17" x14ac:dyDescent="0.25">
      <c r="A338">
        <v>33626638000191</v>
      </c>
      <c r="B338" t="s">
        <v>2</v>
      </c>
      <c r="C338" t="s">
        <v>744</v>
      </c>
      <c r="D338">
        <v>68514500</v>
      </c>
      <c r="E338" t="s">
        <v>78</v>
      </c>
      <c r="F338">
        <v>483</v>
      </c>
      <c r="G338" t="s">
        <v>784</v>
      </c>
      <c r="H338" t="s">
        <v>785</v>
      </c>
      <c r="I338">
        <v>424.65</v>
      </c>
      <c r="J338">
        <v>-5.3462820999999998</v>
      </c>
      <c r="K338">
        <v>-49.100740100000003</v>
      </c>
      <c r="L338" t="s">
        <v>742</v>
      </c>
      <c r="M338" t="s">
        <v>827</v>
      </c>
      <c r="N338" t="s">
        <v>78</v>
      </c>
      <c r="O338" t="s">
        <v>755</v>
      </c>
      <c r="P338" t="str">
        <f>_xlfn.XLOOKUP(empresas_identificadas_complementadas[[#This Row],[cnpj]],empresas_filtradas[cnpj],empresas_filtradas[email])</f>
        <v>GASNEWO2@GMAIL.COM</v>
      </c>
      <c r="Q338" t="str">
        <f>_xlfn.XLOOKUP(empresas_identificadas_complementadas[[#This Row],[cnpj]],empresas_filtradas!A:A,empresas_filtradas!M:M)</f>
        <v>Sem Relação</v>
      </c>
    </row>
    <row r="339" spans="1:17" x14ac:dyDescent="0.25">
      <c r="A339">
        <v>47247409000170</v>
      </c>
      <c r="B339" t="s">
        <v>3</v>
      </c>
      <c r="E339" t="s">
        <v>53</v>
      </c>
      <c r="F339">
        <v>9707</v>
      </c>
      <c r="P339" t="str">
        <f>_xlfn.XLOOKUP(empresas_identificadas_complementadas[[#This Row],[cnpj]],empresas_filtradas[cnpj],empresas_filtradas[email])</f>
        <v>EUGENIO.VIEIRA@APSV.COM.BR</v>
      </c>
      <c r="Q339" t="str">
        <f>_xlfn.XLOOKUP(empresas_identificadas_complementadas[[#This Row],[cnpj]],empresas_filtradas!A:A,empresas_filtradas!M:M)</f>
        <v>Não Planta</v>
      </c>
    </row>
    <row r="340" spans="1:17" x14ac:dyDescent="0.25">
      <c r="A340">
        <v>48195548000160</v>
      </c>
      <c r="B340" t="s">
        <v>2</v>
      </c>
      <c r="C340" t="s">
        <v>739</v>
      </c>
      <c r="D340">
        <v>30170008</v>
      </c>
      <c r="E340" t="s">
        <v>17</v>
      </c>
      <c r="F340">
        <v>4123</v>
      </c>
      <c r="G340" t="s">
        <v>788</v>
      </c>
      <c r="H340" t="s">
        <v>789</v>
      </c>
      <c r="I340">
        <v>9.18</v>
      </c>
      <c r="J340">
        <v>-19.932577899999998</v>
      </c>
      <c r="K340">
        <v>-43.949881499999996</v>
      </c>
      <c r="L340" t="s">
        <v>742</v>
      </c>
      <c r="M340" t="s">
        <v>859</v>
      </c>
      <c r="N340" t="s">
        <v>17</v>
      </c>
      <c r="P340" t="str">
        <f>_xlfn.XLOOKUP(empresas_identificadas_complementadas[[#This Row],[cnpj]],empresas_filtradas[cnpj],empresas_filtradas[email])</f>
        <v>CGF@SOLATIO.COM.BR</v>
      </c>
      <c r="Q340" t="str">
        <f>_xlfn.XLOOKUP(empresas_identificadas_complementadas[[#This Row],[cnpj]],empresas_filtradas!A:A,empresas_filtradas!M:M)</f>
        <v>Não Planta</v>
      </c>
    </row>
    <row r="341" spans="1:17" x14ac:dyDescent="0.25">
      <c r="A341">
        <v>48969993000130</v>
      </c>
      <c r="B341" t="s">
        <v>2</v>
      </c>
      <c r="D341">
        <v>74350740</v>
      </c>
      <c r="E341" t="s">
        <v>173</v>
      </c>
      <c r="F341">
        <v>9373</v>
      </c>
      <c r="G341" t="s">
        <v>745</v>
      </c>
      <c r="H341" t="s">
        <v>746</v>
      </c>
      <c r="I341">
        <v>368.11</v>
      </c>
      <c r="J341">
        <v>-16.680882</v>
      </c>
      <c r="K341">
        <v>-49.253269099999997</v>
      </c>
      <c r="L341" t="s">
        <v>742</v>
      </c>
      <c r="M341" t="s">
        <v>808</v>
      </c>
      <c r="N341" t="s">
        <v>173</v>
      </c>
      <c r="O341" t="s">
        <v>755</v>
      </c>
      <c r="P341" t="str">
        <f>_xlfn.XLOOKUP(empresas_identificadas_complementadas[[#This Row],[cnpj]],empresas_filtradas[cnpj],empresas_filtradas[email])</f>
        <v>ARQ.ALESSANDRACHAVES@GMAIL.COM</v>
      </c>
      <c r="Q341" t="str">
        <f>_xlfn.XLOOKUP(empresas_identificadas_complementadas[[#This Row],[cnpj]],empresas_filtradas!A:A,empresas_filtradas!M:M)</f>
        <v>Sem Relação</v>
      </c>
    </row>
    <row r="342" spans="1:17" x14ac:dyDescent="0.25">
      <c r="A342">
        <v>40667406000490</v>
      </c>
      <c r="B342" t="s">
        <v>3</v>
      </c>
      <c r="D342">
        <v>76380290</v>
      </c>
      <c r="E342" t="s">
        <v>173</v>
      </c>
      <c r="F342">
        <v>9371</v>
      </c>
      <c r="G342" t="s">
        <v>745</v>
      </c>
      <c r="H342" t="s">
        <v>746</v>
      </c>
      <c r="I342">
        <v>508.71</v>
      </c>
      <c r="J342">
        <v>-15.3118269</v>
      </c>
      <c r="K342">
        <v>-49.1162001</v>
      </c>
      <c r="L342" t="s">
        <v>742</v>
      </c>
      <c r="M342" t="s">
        <v>941</v>
      </c>
      <c r="N342" t="s">
        <v>173</v>
      </c>
      <c r="O342" t="s">
        <v>755</v>
      </c>
      <c r="P342" t="str">
        <f>_xlfn.XLOOKUP(empresas_identificadas_complementadas[[#This Row],[cnpj]],empresas_filtradas[cnpj],empresas_filtradas[email])</f>
        <v>PGONCALVES@ECOMBUSTIBLE.COM</v>
      </c>
      <c r="Q342" t="str">
        <f>_xlfn.XLOOKUP(empresas_identificadas_complementadas[[#This Row],[cnpj]],empresas_filtradas!A:A,empresas_filtradas!M:M)</f>
        <v>Conceito de Planta</v>
      </c>
    </row>
    <row r="343" spans="1:17" x14ac:dyDescent="0.25">
      <c r="A343">
        <v>53145723000145</v>
      </c>
      <c r="B343" t="s">
        <v>2</v>
      </c>
      <c r="C343" t="s">
        <v>744</v>
      </c>
      <c r="D343">
        <v>17342634</v>
      </c>
      <c r="E343" t="s">
        <v>32</v>
      </c>
      <c r="F343">
        <v>6205</v>
      </c>
      <c r="G343" t="s">
        <v>752</v>
      </c>
      <c r="H343" t="s">
        <v>753</v>
      </c>
      <c r="I343">
        <v>148.13999999999999</v>
      </c>
      <c r="J343">
        <v>-22.4708948</v>
      </c>
      <c r="K343">
        <v>-48.553916800000003</v>
      </c>
      <c r="L343" t="s">
        <v>742</v>
      </c>
      <c r="M343" t="s">
        <v>942</v>
      </c>
      <c r="N343" t="s">
        <v>32</v>
      </c>
      <c r="P343" t="str">
        <f>_xlfn.XLOOKUP(empresas_identificadas_complementadas[[#This Row],[cnpj]],empresas_filtradas[cnpj],empresas_filtradas[email])</f>
        <v>WALTER@BARRAGAS.COM.BR</v>
      </c>
      <c r="Q343" t="str">
        <f>_xlfn.XLOOKUP(empresas_identificadas_complementadas[[#This Row],[cnpj]],empresas_filtradas!A:A,empresas_filtradas!M:M)</f>
        <v>Sem Relação</v>
      </c>
    </row>
    <row r="344" spans="1:17" x14ac:dyDescent="0.25">
      <c r="A344">
        <v>48702159000265</v>
      </c>
      <c r="B344" t="s">
        <v>2</v>
      </c>
      <c r="D344">
        <v>59146460</v>
      </c>
      <c r="E344" t="s">
        <v>71</v>
      </c>
      <c r="F344">
        <v>1779</v>
      </c>
      <c r="G344" t="s">
        <v>796</v>
      </c>
      <c r="H344" t="s">
        <v>768</v>
      </c>
      <c r="I344">
        <v>279.69</v>
      </c>
      <c r="J344">
        <v>-5.9000294000000002</v>
      </c>
      <c r="K344">
        <v>-35.257546400000003</v>
      </c>
      <c r="L344" t="s">
        <v>742</v>
      </c>
      <c r="M344" t="s">
        <v>896</v>
      </c>
      <c r="N344" t="s">
        <v>71</v>
      </c>
      <c r="P344" t="str">
        <f>_xlfn.XLOOKUP(empresas_identificadas_complementadas[[#This Row],[cnpj]],empresas_filtradas[cnpj],empresas_filtradas[email])</f>
        <v>OXIBORGESRN@GMAIL.COM</v>
      </c>
      <c r="Q344" t="str">
        <f>_xlfn.XLOOKUP(empresas_identificadas_complementadas[[#This Row],[cnpj]],empresas_filtradas!A:A,empresas_filtradas!M:M)</f>
        <v>Sem Relação</v>
      </c>
    </row>
    <row r="345" spans="1:17" x14ac:dyDescent="0.25">
      <c r="A345">
        <v>64081687000110</v>
      </c>
      <c r="B345" t="s">
        <v>3</v>
      </c>
      <c r="E345" t="s">
        <v>53</v>
      </c>
      <c r="F345">
        <v>9707</v>
      </c>
      <c r="P345" t="str">
        <f>_xlfn.XLOOKUP(empresas_identificadas_complementadas[[#This Row],[cnpj]],empresas_filtradas[cnpj],empresas_filtradas[email])</f>
        <v>VITOR.COSTA@GRUPOSIMEC.COM.BR</v>
      </c>
      <c r="Q345" t="str">
        <f>_xlfn.XLOOKUP(empresas_identificadas_complementadas[[#This Row],[cnpj]],empresas_filtradas!A:A,empresas_filtradas!M:M)</f>
        <v>Sem Relação</v>
      </c>
    </row>
    <row r="346" spans="1:17" x14ac:dyDescent="0.25">
      <c r="A346">
        <v>1666621000171</v>
      </c>
      <c r="B346" t="s">
        <v>4</v>
      </c>
      <c r="C346" t="s">
        <v>744</v>
      </c>
      <c r="D346">
        <v>88702504</v>
      </c>
      <c r="E346" t="s">
        <v>65</v>
      </c>
      <c r="F346">
        <v>8367</v>
      </c>
      <c r="G346" t="s">
        <v>804</v>
      </c>
      <c r="H346" t="s">
        <v>802</v>
      </c>
      <c r="I346">
        <v>261.74</v>
      </c>
      <c r="J346">
        <v>-28.498901700000001</v>
      </c>
      <c r="K346">
        <v>-49.026173700000001</v>
      </c>
      <c r="L346" t="s">
        <v>742</v>
      </c>
      <c r="M346" t="s">
        <v>943</v>
      </c>
      <c r="N346" t="s">
        <v>65</v>
      </c>
      <c r="P346" t="str">
        <f>_xlfn.XLOOKUP(empresas_identificadas_complementadas[[#This Row],[cnpj]],empresas_filtradas[cnpj],empresas_filtradas[email])</f>
        <v>ATENDIMENTO@CRIOBRAS.COM.BR</v>
      </c>
      <c r="Q346" t="str">
        <f>_xlfn.XLOOKUP(empresas_identificadas_complementadas[[#This Row],[cnpj]],empresas_filtradas!A:A,empresas_filtradas!M:M)</f>
        <v>Relação</v>
      </c>
    </row>
    <row r="347" spans="1:17" x14ac:dyDescent="0.25">
      <c r="A347">
        <v>2084922000150</v>
      </c>
      <c r="B347" t="s">
        <v>2</v>
      </c>
      <c r="C347" t="s">
        <v>744</v>
      </c>
      <c r="D347">
        <v>69089050</v>
      </c>
      <c r="E347" t="s">
        <v>114</v>
      </c>
      <c r="F347">
        <v>255</v>
      </c>
      <c r="G347" t="s">
        <v>784</v>
      </c>
      <c r="H347" t="s">
        <v>785</v>
      </c>
      <c r="I347">
        <v>1255.6500000000001</v>
      </c>
      <c r="J347">
        <v>-3.094538</v>
      </c>
      <c r="K347">
        <v>-59.9413974</v>
      </c>
      <c r="L347" t="s">
        <v>742</v>
      </c>
      <c r="M347" t="s">
        <v>892</v>
      </c>
      <c r="N347" t="s">
        <v>114</v>
      </c>
      <c r="P347" t="str">
        <f>_xlfn.XLOOKUP(empresas_identificadas_complementadas[[#This Row],[cnpj]],empresas_filtradas[cnpj],empresas_filtradas[email])</f>
        <v>ADM.GAZZON@GMAIL.COM</v>
      </c>
      <c r="Q347" t="str">
        <f>_xlfn.XLOOKUP(empresas_identificadas_complementadas[[#This Row],[cnpj]],empresas_filtradas!A:A,empresas_filtradas!M:M)</f>
        <v>Sem Relação</v>
      </c>
    </row>
    <row r="348" spans="1:17" x14ac:dyDescent="0.25">
      <c r="A348">
        <v>35820448015400</v>
      </c>
      <c r="B348" t="s">
        <v>3</v>
      </c>
      <c r="C348" t="s">
        <v>751</v>
      </c>
      <c r="D348">
        <v>32605608</v>
      </c>
      <c r="E348" t="s">
        <v>17</v>
      </c>
      <c r="F348">
        <v>4133</v>
      </c>
      <c r="G348" t="s">
        <v>788</v>
      </c>
      <c r="H348" t="s">
        <v>789</v>
      </c>
      <c r="I348">
        <v>20.11</v>
      </c>
      <c r="J348">
        <v>-19.9703184</v>
      </c>
      <c r="K348">
        <v>-44.206494999999997</v>
      </c>
      <c r="L348" t="s">
        <v>742</v>
      </c>
      <c r="M348" t="s">
        <v>944</v>
      </c>
      <c r="N348" t="s">
        <v>17</v>
      </c>
      <c r="O348" t="s">
        <v>755</v>
      </c>
      <c r="P348" t="str">
        <f>_xlfn.XLOOKUP(empresas_identificadas_complementadas[[#This Row],[cnpj]],empresas_filtradas[cnpj],empresas_filtradas[email])</f>
        <v/>
      </c>
      <c r="Q348" t="str">
        <f>_xlfn.XLOOKUP(empresas_identificadas_complementadas[[#This Row],[cnpj]],empresas_filtradas!A:A,empresas_filtradas!M:M)</f>
        <v>Potencial Planta</v>
      </c>
    </row>
    <row r="349" spans="1:17" x14ac:dyDescent="0.25">
      <c r="A349">
        <v>7086661000120</v>
      </c>
      <c r="B349" t="s">
        <v>2</v>
      </c>
      <c r="C349" t="s">
        <v>744</v>
      </c>
      <c r="D349">
        <v>16058500</v>
      </c>
      <c r="E349" t="s">
        <v>32</v>
      </c>
      <c r="F349">
        <v>6155</v>
      </c>
      <c r="G349" t="s">
        <v>745</v>
      </c>
      <c r="H349" t="s">
        <v>746</v>
      </c>
      <c r="I349">
        <v>306.93</v>
      </c>
      <c r="J349">
        <v>-21.207992000000001</v>
      </c>
      <c r="K349">
        <v>-50.4390225</v>
      </c>
      <c r="L349" t="s">
        <v>742</v>
      </c>
      <c r="M349" t="s">
        <v>945</v>
      </c>
      <c r="N349" t="s">
        <v>32</v>
      </c>
      <c r="O349" t="s">
        <v>755</v>
      </c>
      <c r="P349" t="str">
        <f>_xlfn.XLOOKUP(empresas_identificadas_complementadas[[#This Row],[cnpj]],empresas_filtradas[cnpj],empresas_filtradas[email])</f>
        <v>CIRLENE@TRIOXGASES.COM.BR</v>
      </c>
      <c r="Q349" t="str">
        <f>_xlfn.XLOOKUP(empresas_identificadas_complementadas[[#This Row],[cnpj]],empresas_filtradas!A:A,empresas_filtradas!M:M)</f>
        <v>Sem Relação</v>
      </c>
    </row>
    <row r="350" spans="1:17" x14ac:dyDescent="0.25">
      <c r="A350">
        <v>14850457000108</v>
      </c>
      <c r="B350" t="s">
        <v>2</v>
      </c>
      <c r="C350" t="s">
        <v>739</v>
      </c>
      <c r="D350">
        <v>43721760</v>
      </c>
      <c r="E350" t="s">
        <v>60</v>
      </c>
      <c r="F350">
        <v>3913</v>
      </c>
      <c r="G350" t="s">
        <v>759</v>
      </c>
      <c r="H350" t="s">
        <v>760</v>
      </c>
      <c r="I350">
        <v>13.25</v>
      </c>
      <c r="J350">
        <v>-12.7867839</v>
      </c>
      <c r="K350">
        <v>-38.403036499999999</v>
      </c>
      <c r="L350" t="s">
        <v>742</v>
      </c>
      <c r="M350" t="s">
        <v>848</v>
      </c>
      <c r="N350" t="s">
        <v>60</v>
      </c>
      <c r="O350" t="s">
        <v>755</v>
      </c>
      <c r="P350" t="str">
        <f>_xlfn.XLOOKUP(empresas_identificadas_complementadas[[#This Row],[cnpj]],empresas_filtradas[cnpj],empresas_filtradas[email])</f>
        <v>FINANCEIRO@VEIGAGASES.COM.BR</v>
      </c>
      <c r="Q350" t="str">
        <f>_xlfn.XLOOKUP(empresas_identificadas_complementadas[[#This Row],[cnpj]],empresas_filtradas!A:A,empresas_filtradas!M:M)</f>
        <v>Relação</v>
      </c>
    </row>
    <row r="351" spans="1:17" x14ac:dyDescent="0.25">
      <c r="A351">
        <v>9446066000184</v>
      </c>
      <c r="B351" t="s">
        <v>2</v>
      </c>
      <c r="C351" t="s">
        <v>739</v>
      </c>
      <c r="D351">
        <v>13148109</v>
      </c>
      <c r="E351" t="s">
        <v>32</v>
      </c>
      <c r="F351">
        <v>6831</v>
      </c>
      <c r="G351" t="s">
        <v>752</v>
      </c>
      <c r="H351" t="s">
        <v>753</v>
      </c>
      <c r="I351">
        <v>5.19</v>
      </c>
      <c r="J351">
        <v>-22.7744447</v>
      </c>
      <c r="K351">
        <v>-47.132945800000002</v>
      </c>
      <c r="L351" t="s">
        <v>742</v>
      </c>
      <c r="M351" t="s">
        <v>825</v>
      </c>
      <c r="N351" t="s">
        <v>32</v>
      </c>
      <c r="P351" t="str">
        <f>_xlfn.XLOOKUP(empresas_identificadas_complementadas[[#This Row],[cnpj]],empresas_filtradas[cnpj],empresas_filtradas[email])</f>
        <v>CONTFAB@CONTFAB.COM.BR</v>
      </c>
      <c r="Q351" t="str">
        <f>_xlfn.XLOOKUP(empresas_identificadas_complementadas[[#This Row],[cnpj]],empresas_filtradas!A:A,empresas_filtradas!M:M)</f>
        <v>Sem Relação</v>
      </c>
    </row>
    <row r="352" spans="1:17" x14ac:dyDescent="0.25">
      <c r="A352">
        <v>11573041000193</v>
      </c>
      <c r="B352" t="s">
        <v>2</v>
      </c>
      <c r="D352">
        <v>58884000</v>
      </c>
      <c r="E352" t="s">
        <v>96</v>
      </c>
      <c r="F352">
        <v>1987</v>
      </c>
      <c r="G352" t="s">
        <v>767</v>
      </c>
      <c r="H352" t="s">
        <v>768</v>
      </c>
      <c r="I352">
        <v>331.97</v>
      </c>
      <c r="J352">
        <v>-6.3406250000000002</v>
      </c>
      <c r="K352">
        <v>-37.746966999999998</v>
      </c>
      <c r="L352" t="s">
        <v>742</v>
      </c>
      <c r="M352" t="s">
        <v>839</v>
      </c>
      <c r="N352" t="s">
        <v>96</v>
      </c>
      <c r="P352" t="str">
        <f>_xlfn.XLOOKUP(empresas_identificadas_complementadas[[#This Row],[cnpj]],empresas_filtradas[cnpj],empresas_filtradas[email])</f>
        <v>IPG-PARAIBA@HOTMAIL.COM</v>
      </c>
      <c r="Q352" t="str">
        <f>_xlfn.XLOOKUP(empresas_identificadas_complementadas[[#This Row],[cnpj]],empresas_filtradas!A:A,empresas_filtradas!M:M)</f>
        <v>Sem Relação</v>
      </c>
    </row>
    <row r="353" spans="1:17" x14ac:dyDescent="0.25">
      <c r="A353">
        <v>33291611000195</v>
      </c>
      <c r="B353" t="s">
        <v>2</v>
      </c>
      <c r="E353" t="s">
        <v>53</v>
      </c>
      <c r="F353">
        <v>9707</v>
      </c>
      <c r="P353" t="str">
        <f>_xlfn.XLOOKUP(empresas_identificadas_complementadas[[#This Row],[cnpj]],empresas_filtradas[cnpj],empresas_filtradas[email])</f>
        <v>INFO@GTSSPA.EU</v>
      </c>
      <c r="Q353" t="str">
        <f>_xlfn.XLOOKUP(empresas_identificadas_complementadas[[#This Row],[cnpj]],empresas_filtradas!A:A,empresas_filtradas!M:M)</f>
        <v>Sem Relação</v>
      </c>
    </row>
    <row r="354" spans="1:17" x14ac:dyDescent="0.25">
      <c r="A354">
        <v>49596047000159</v>
      </c>
      <c r="B354" t="s">
        <v>2</v>
      </c>
      <c r="C354" t="s">
        <v>739</v>
      </c>
      <c r="D354">
        <v>60192200</v>
      </c>
      <c r="E354" t="s">
        <v>108</v>
      </c>
      <c r="F354">
        <v>1389</v>
      </c>
      <c r="G354" t="s">
        <v>767</v>
      </c>
      <c r="H354" t="s">
        <v>768</v>
      </c>
      <c r="I354">
        <v>41.86</v>
      </c>
      <c r="J354">
        <v>-3.7444392</v>
      </c>
      <c r="K354">
        <v>-38.4883709</v>
      </c>
      <c r="L354" t="s">
        <v>742</v>
      </c>
      <c r="M354" t="s">
        <v>888</v>
      </c>
      <c r="N354" t="s">
        <v>108</v>
      </c>
      <c r="P354" t="str">
        <f>_xlfn.XLOOKUP(empresas_identificadas_complementadas[[#This Row],[cnpj]],empresas_filtradas[cnpj],empresas_filtradas[email])</f>
        <v>JOSEVENTURA@ESPLENDIDOENIGMA.PT</v>
      </c>
      <c r="Q354" t="str">
        <f>_xlfn.XLOOKUP(empresas_identificadas_complementadas[[#This Row],[cnpj]],empresas_filtradas!A:A,empresas_filtradas!M:M)</f>
        <v>Conceito de Planta</v>
      </c>
    </row>
    <row r="355" spans="1:17" x14ac:dyDescent="0.25">
      <c r="A355">
        <v>66358979000425</v>
      </c>
      <c r="B355" t="s">
        <v>2</v>
      </c>
      <c r="C355" t="s">
        <v>744</v>
      </c>
      <c r="D355">
        <v>39402194</v>
      </c>
      <c r="E355" t="s">
        <v>17</v>
      </c>
      <c r="F355">
        <v>4865</v>
      </c>
      <c r="G355" t="s">
        <v>820</v>
      </c>
      <c r="H355" t="s">
        <v>749</v>
      </c>
      <c r="I355">
        <v>333.82</v>
      </c>
      <c r="J355">
        <v>-16.736344200000001</v>
      </c>
      <c r="K355">
        <v>-43.846240399999999</v>
      </c>
      <c r="L355" t="s">
        <v>742</v>
      </c>
      <c r="M355" t="s">
        <v>833</v>
      </c>
      <c r="N355" t="s">
        <v>17</v>
      </c>
      <c r="P355" t="str">
        <f>_xlfn.XLOOKUP(empresas_identificadas_complementadas[[#This Row],[cnpj]],empresas_filtradas[cnpj],empresas_filtradas[email])</f>
        <v>CONTADOR@OXIMIL.COM.BR</v>
      </c>
      <c r="Q355" t="str">
        <f>_xlfn.XLOOKUP(empresas_identificadas_complementadas[[#This Row],[cnpj]],empresas_filtradas!A:A,empresas_filtradas!M:M)</f>
        <v>Sem Relação</v>
      </c>
    </row>
    <row r="356" spans="1:17" x14ac:dyDescent="0.25">
      <c r="A356">
        <v>64025306000185</v>
      </c>
      <c r="B356" t="s">
        <v>2</v>
      </c>
      <c r="C356" t="s">
        <v>739</v>
      </c>
      <c r="D356">
        <v>67120136</v>
      </c>
      <c r="E356" t="s">
        <v>78</v>
      </c>
      <c r="F356">
        <v>415</v>
      </c>
      <c r="G356" t="s">
        <v>784</v>
      </c>
      <c r="H356" t="s">
        <v>785</v>
      </c>
      <c r="I356">
        <v>41.64</v>
      </c>
      <c r="J356">
        <v>-1.3763563999999999</v>
      </c>
      <c r="K356">
        <v>-48.411395300000002</v>
      </c>
      <c r="L356" t="s">
        <v>742</v>
      </c>
      <c r="M356" t="s">
        <v>837</v>
      </c>
      <c r="N356" t="s">
        <v>78</v>
      </c>
      <c r="P356" t="str">
        <f>_xlfn.XLOOKUP(empresas_identificadas_complementadas[[#This Row],[cnpj]],empresas_filtradas[cnpj],empresas_filtradas[email])</f>
        <v>OLITECPAR@GMAIL.COM</v>
      </c>
      <c r="Q356" t="str">
        <f>_xlfn.XLOOKUP(empresas_identificadas_complementadas[[#This Row],[cnpj]],empresas_filtradas!A:A,empresas_filtradas!M:M)</f>
        <v>Relação</v>
      </c>
    </row>
    <row r="357" spans="1:17" x14ac:dyDescent="0.25">
      <c r="A357">
        <v>11990559000122</v>
      </c>
      <c r="B357" t="s">
        <v>3</v>
      </c>
      <c r="D357">
        <v>99010101</v>
      </c>
      <c r="E357" t="s">
        <v>117</v>
      </c>
      <c r="F357">
        <v>8785</v>
      </c>
      <c r="G357" t="s">
        <v>771</v>
      </c>
      <c r="H357" t="s">
        <v>760</v>
      </c>
      <c r="I357">
        <v>205.19</v>
      </c>
      <c r="J357">
        <v>-28.2545635</v>
      </c>
      <c r="K357">
        <v>-52.3996529</v>
      </c>
      <c r="L357" t="s">
        <v>742</v>
      </c>
      <c r="M357" t="s">
        <v>946</v>
      </c>
      <c r="N357" t="s">
        <v>117</v>
      </c>
      <c r="P357" t="str">
        <f>_xlfn.XLOOKUP(empresas_identificadas_complementadas[[#This Row],[cnpj]],empresas_filtradas[cnpj],empresas_filtradas[email])</f>
        <v>JOAO.BNX@GMAIL.COM</v>
      </c>
      <c r="Q357" t="str">
        <f>_xlfn.XLOOKUP(empresas_identificadas_complementadas[[#This Row],[cnpj]],empresas_filtradas!A:A,empresas_filtradas!M:M)</f>
        <v>Sem Relação</v>
      </c>
    </row>
    <row r="358" spans="1:17" x14ac:dyDescent="0.25">
      <c r="A358">
        <v>16685196000135</v>
      </c>
      <c r="B358" t="s">
        <v>2</v>
      </c>
      <c r="C358" t="s">
        <v>744</v>
      </c>
      <c r="D358">
        <v>75536110</v>
      </c>
      <c r="E358" t="s">
        <v>173</v>
      </c>
      <c r="F358">
        <v>9425</v>
      </c>
      <c r="G358" t="s">
        <v>745</v>
      </c>
      <c r="H358" t="s">
        <v>746</v>
      </c>
      <c r="I358">
        <v>206.53</v>
      </c>
      <c r="J358">
        <v>-18.395034500000001</v>
      </c>
      <c r="K358">
        <v>-49.286648700000001</v>
      </c>
      <c r="L358" t="s">
        <v>742</v>
      </c>
      <c r="M358" t="s">
        <v>947</v>
      </c>
      <c r="N358" t="s">
        <v>173</v>
      </c>
      <c r="P358" t="s">
        <v>958</v>
      </c>
      <c r="Q358" t="str">
        <f>_xlfn.XLOOKUP(empresas_identificadas_complementadas[[#This Row],[cnpj]],empresas_filtradas!A:A,empresas_filtradas!M:M)</f>
        <v>Relação</v>
      </c>
    </row>
    <row r="359" spans="1:17" x14ac:dyDescent="0.25">
      <c r="A359">
        <v>24791273000160</v>
      </c>
      <c r="B359" t="s">
        <v>4</v>
      </c>
      <c r="C359" t="s">
        <v>739</v>
      </c>
      <c r="D359">
        <v>9664000</v>
      </c>
      <c r="E359" t="s">
        <v>32</v>
      </c>
      <c r="F359">
        <v>7075</v>
      </c>
      <c r="G359" t="s">
        <v>798</v>
      </c>
      <c r="H359" t="s">
        <v>799</v>
      </c>
      <c r="I359">
        <v>14.16</v>
      </c>
      <c r="J359">
        <v>-23.6600532</v>
      </c>
      <c r="K359">
        <v>-46.609027400000002</v>
      </c>
      <c r="L359" t="s">
        <v>742</v>
      </c>
      <c r="M359" t="s">
        <v>897</v>
      </c>
      <c r="N359" t="s">
        <v>32</v>
      </c>
      <c r="P359" t="str">
        <f>_xlfn.XLOOKUP(empresas_identificadas_complementadas[[#This Row],[cnpj]],empresas_filtradas[cnpj],empresas_filtradas[email])</f>
        <v>COMERCIAL@BAXQUALITY.COM.BR</v>
      </c>
      <c r="Q359" t="str">
        <f>_xlfn.XLOOKUP(empresas_identificadas_complementadas[[#This Row],[cnpj]],empresas_filtradas!A:A,empresas_filtradas!M:M)</f>
        <v>Sem Relação</v>
      </c>
    </row>
    <row r="360" spans="1:17" x14ac:dyDescent="0.25">
      <c r="A360">
        <v>24138700000105</v>
      </c>
      <c r="B360" t="s">
        <v>2</v>
      </c>
      <c r="C360" t="s">
        <v>739</v>
      </c>
      <c r="D360">
        <v>67120136</v>
      </c>
      <c r="E360" t="s">
        <v>78</v>
      </c>
      <c r="F360">
        <v>415</v>
      </c>
      <c r="G360" t="s">
        <v>784</v>
      </c>
      <c r="H360" t="s">
        <v>785</v>
      </c>
      <c r="I360">
        <v>41.64</v>
      </c>
      <c r="J360">
        <v>-1.3763563999999999</v>
      </c>
      <c r="K360">
        <v>-48.411395300000002</v>
      </c>
      <c r="L360" t="s">
        <v>742</v>
      </c>
      <c r="M360" t="s">
        <v>837</v>
      </c>
      <c r="N360" t="s">
        <v>78</v>
      </c>
      <c r="P360" t="str">
        <f>_xlfn.XLOOKUP(empresas_identificadas_complementadas[[#This Row],[cnpj]],empresas_filtradas[cnpj],empresas_filtradas[email])</f>
        <v>OLITECPAR@GMAIL.COM</v>
      </c>
      <c r="Q360" t="str">
        <f>_xlfn.XLOOKUP(empresas_identificadas_complementadas[[#This Row],[cnpj]],empresas_filtradas!A:A,empresas_filtradas!M:M)</f>
        <v>Relação</v>
      </c>
    </row>
    <row r="361" spans="1:17" x14ac:dyDescent="0.25">
      <c r="A361">
        <v>15836613000130</v>
      </c>
      <c r="B361" t="s">
        <v>4</v>
      </c>
      <c r="C361" t="s">
        <v>751</v>
      </c>
      <c r="D361">
        <v>4213002</v>
      </c>
      <c r="E361" t="s">
        <v>32</v>
      </c>
      <c r="F361">
        <v>7107</v>
      </c>
      <c r="G361" t="s">
        <v>798</v>
      </c>
      <c r="H361" t="s">
        <v>799</v>
      </c>
      <c r="I361">
        <v>14.91</v>
      </c>
      <c r="J361">
        <v>-23.5922661</v>
      </c>
      <c r="K361">
        <v>-46.596304400000001</v>
      </c>
      <c r="L361" t="s">
        <v>742</v>
      </c>
      <c r="M361" t="s">
        <v>841</v>
      </c>
      <c r="N361" t="s">
        <v>32</v>
      </c>
      <c r="P361" t="str">
        <f>_xlfn.XLOOKUP(empresas_identificadas_complementadas[[#This Row],[cnpj]],empresas_filtradas[cnpj],empresas_filtradas[email])</f>
        <v>LUIZ@EPGI.COM.BR</v>
      </c>
      <c r="Q361" t="str">
        <f>_xlfn.XLOOKUP(empresas_identificadas_complementadas[[#This Row],[cnpj]],empresas_filtradas!A:A,empresas_filtradas!M:M)</f>
        <v>Sem Relação</v>
      </c>
    </row>
    <row r="362" spans="1:17" x14ac:dyDescent="0.25">
      <c r="A362">
        <v>25336013000167</v>
      </c>
      <c r="B362" t="s">
        <v>2</v>
      </c>
      <c r="C362" t="s">
        <v>739</v>
      </c>
      <c r="D362">
        <v>32689350</v>
      </c>
      <c r="E362" t="s">
        <v>17</v>
      </c>
      <c r="F362">
        <v>4133</v>
      </c>
      <c r="G362" t="s">
        <v>788</v>
      </c>
      <c r="H362" t="s">
        <v>789</v>
      </c>
      <c r="I362">
        <v>20.11</v>
      </c>
      <c r="J362">
        <v>-19.9703184</v>
      </c>
      <c r="K362">
        <v>-44.206494999999997</v>
      </c>
      <c r="L362" t="s">
        <v>742</v>
      </c>
      <c r="M362" t="s">
        <v>944</v>
      </c>
      <c r="N362" t="s">
        <v>17</v>
      </c>
      <c r="O362" t="s">
        <v>755</v>
      </c>
      <c r="P362" t="str">
        <f>_xlfn.XLOOKUP(empresas_identificadas_complementadas[[#This Row],[cnpj]],empresas_filtradas[cnpj],empresas_filtradas[email])</f>
        <v>LIDER@LIDERGASESMG.COM.BR</v>
      </c>
      <c r="Q362" t="str">
        <f>_xlfn.XLOOKUP(empresas_identificadas_complementadas[[#This Row],[cnpj]],empresas_filtradas!A:A,empresas_filtradas!M:M)</f>
        <v>Relação</v>
      </c>
    </row>
    <row r="363" spans="1:17" x14ac:dyDescent="0.25">
      <c r="A363">
        <v>34867665000119</v>
      </c>
      <c r="B363" t="s">
        <v>4</v>
      </c>
      <c r="C363" t="s">
        <v>739</v>
      </c>
      <c r="D363">
        <v>3707000</v>
      </c>
      <c r="E363" t="s">
        <v>32</v>
      </c>
      <c r="F363">
        <v>7107</v>
      </c>
      <c r="G363" t="s">
        <v>798</v>
      </c>
      <c r="H363" t="s">
        <v>799</v>
      </c>
      <c r="I363">
        <v>20.61</v>
      </c>
      <c r="J363">
        <v>-23.550650699999998</v>
      </c>
      <c r="K363">
        <v>-46.633382400000002</v>
      </c>
      <c r="L363" t="s">
        <v>742</v>
      </c>
      <c r="M363" t="s">
        <v>841</v>
      </c>
      <c r="N363" t="s">
        <v>32</v>
      </c>
      <c r="O363" t="s">
        <v>755</v>
      </c>
      <c r="P363" t="str">
        <f>_xlfn.XLOOKUP(empresas_identificadas_complementadas[[#This Row],[cnpj]],empresas_filtradas[cnpj],empresas_filtradas[email])</f>
        <v>MARCELO@HEURO.COM.BR</v>
      </c>
      <c r="Q363" t="str">
        <f>_xlfn.XLOOKUP(empresas_identificadas_complementadas[[#This Row],[cnpj]],empresas_filtradas!A:A,empresas_filtradas!M:M)</f>
        <v>Sem Relação</v>
      </c>
    </row>
    <row r="364" spans="1:17" x14ac:dyDescent="0.25">
      <c r="A364">
        <v>46627517000106</v>
      </c>
      <c r="B364" t="s">
        <v>4</v>
      </c>
      <c r="D364">
        <v>89245000</v>
      </c>
      <c r="E364" t="s">
        <v>65</v>
      </c>
      <c r="F364">
        <v>8025</v>
      </c>
      <c r="G364" t="s">
        <v>801</v>
      </c>
      <c r="H364" t="s">
        <v>802</v>
      </c>
      <c r="I364">
        <v>110.69</v>
      </c>
      <c r="J364">
        <v>-26.370332399999999</v>
      </c>
      <c r="K364">
        <v>-48.7210994</v>
      </c>
      <c r="L364" t="s">
        <v>742</v>
      </c>
      <c r="M364" t="s">
        <v>907</v>
      </c>
      <c r="N364" t="s">
        <v>65</v>
      </c>
      <c r="P364" t="str">
        <f>_xlfn.XLOOKUP(empresas_identificadas_complementadas[[#This Row],[cnpj]],empresas_filtradas[cnpj],empresas_filtradas[email])</f>
        <v>FINANCEIRO@ARMENIAN.COM.BR</v>
      </c>
      <c r="Q364" t="str">
        <f>_xlfn.XLOOKUP(empresas_identificadas_complementadas[[#This Row],[cnpj]],empresas_filtradas!A:A,empresas_filtradas!M:M)</f>
        <v>Sem Relação</v>
      </c>
    </row>
    <row r="365" spans="1:17" x14ac:dyDescent="0.25">
      <c r="A365">
        <v>4888219000391</v>
      </c>
      <c r="B365" t="s">
        <v>2</v>
      </c>
      <c r="C365" t="s">
        <v>739</v>
      </c>
      <c r="D365">
        <v>55616899</v>
      </c>
      <c r="E365" t="s">
        <v>92</v>
      </c>
      <c r="F365">
        <v>2627</v>
      </c>
      <c r="G365" t="s">
        <v>796</v>
      </c>
      <c r="H365" t="s">
        <v>768</v>
      </c>
      <c r="I365">
        <v>48</v>
      </c>
      <c r="J365">
        <v>-8.1209018999999998</v>
      </c>
      <c r="K365">
        <v>-35.294485799999997</v>
      </c>
      <c r="L365" t="s">
        <v>742</v>
      </c>
      <c r="M365" t="s">
        <v>914</v>
      </c>
      <c r="N365" t="s">
        <v>92</v>
      </c>
      <c r="O365" t="s">
        <v>755</v>
      </c>
      <c r="P365" t="str">
        <f>_xlfn.XLOOKUP(empresas_identificadas_complementadas[[#This Row],[cnpj]],empresas_filtradas[cnpj],empresas_filtradas[email])</f>
        <v>FISCAL.NF@GRUPOJB.COM.BR</v>
      </c>
      <c r="Q365" t="str">
        <f>_xlfn.XLOOKUP(empresas_identificadas_complementadas[[#This Row],[cnpj]],empresas_filtradas!A:A,empresas_filtradas!M:M)</f>
        <v>Sem Relação</v>
      </c>
    </row>
    <row r="366" spans="1:17" x14ac:dyDescent="0.25">
      <c r="A366">
        <v>1327288000257</v>
      </c>
      <c r="B366" t="s">
        <v>2</v>
      </c>
      <c r="C366" t="s">
        <v>739</v>
      </c>
      <c r="D366">
        <v>3707000</v>
      </c>
      <c r="E366" t="s">
        <v>32</v>
      </c>
      <c r="F366">
        <v>7107</v>
      </c>
      <c r="G366" t="s">
        <v>798</v>
      </c>
      <c r="H366" t="s">
        <v>799</v>
      </c>
      <c r="I366">
        <v>20.61</v>
      </c>
      <c r="J366">
        <v>-23.550650699999998</v>
      </c>
      <c r="K366">
        <v>-46.633382400000002</v>
      </c>
      <c r="L366" t="s">
        <v>742</v>
      </c>
      <c r="M366" t="s">
        <v>841</v>
      </c>
      <c r="N366" t="s">
        <v>32</v>
      </c>
      <c r="O366" t="s">
        <v>755</v>
      </c>
      <c r="P366" t="str">
        <f>_xlfn.XLOOKUP(empresas_identificadas_complementadas[[#This Row],[cnpj]],empresas_filtradas[cnpj],empresas_filtradas[email])</f>
        <v>RENATOKUHN@HOTMAIL.COM</v>
      </c>
      <c r="Q366" t="str">
        <f>_xlfn.XLOOKUP(empresas_identificadas_complementadas[[#This Row],[cnpj]],empresas_filtradas!A:A,empresas_filtradas!M:M)</f>
        <v>Sem Relação</v>
      </c>
    </row>
    <row r="367" spans="1:17" x14ac:dyDescent="0.25">
      <c r="A367">
        <v>57828315000149</v>
      </c>
      <c r="B367" t="s">
        <v>2</v>
      </c>
      <c r="D367">
        <v>72649715</v>
      </c>
      <c r="E367" t="s">
        <v>40</v>
      </c>
      <c r="F367">
        <v>9701</v>
      </c>
      <c r="G367" t="s">
        <v>745</v>
      </c>
      <c r="H367" t="s">
        <v>746</v>
      </c>
      <c r="I367">
        <v>439.6</v>
      </c>
      <c r="J367">
        <v>-15.7939869</v>
      </c>
      <c r="K367">
        <v>-47.882800000000003</v>
      </c>
      <c r="L367" t="s">
        <v>742</v>
      </c>
      <c r="M367" t="s">
        <v>757</v>
      </c>
      <c r="N367" t="s">
        <v>40</v>
      </c>
      <c r="O367" t="s">
        <v>755</v>
      </c>
      <c r="P367" t="str">
        <f>_xlfn.XLOOKUP(empresas_identificadas_complementadas[[#This Row],[cnpj]],empresas_filtradas[cnpj],empresas_filtradas[email])</f>
        <v>SOCO2GASES@GMAIL.COM</v>
      </c>
      <c r="Q367" t="str">
        <f>_xlfn.XLOOKUP(empresas_identificadas_complementadas[[#This Row],[cnpj]],empresas_filtradas!A:A,empresas_filtradas!M:M)</f>
        <v>Sem Relação</v>
      </c>
    </row>
    <row r="368" spans="1:17" x14ac:dyDescent="0.25">
      <c r="A368">
        <v>59762931000170</v>
      </c>
      <c r="B368" t="s">
        <v>2</v>
      </c>
      <c r="C368" t="s">
        <v>739</v>
      </c>
      <c r="D368">
        <v>22640904</v>
      </c>
      <c r="E368" t="s">
        <v>27</v>
      </c>
      <c r="F368">
        <v>6001</v>
      </c>
      <c r="G368" t="s">
        <v>748</v>
      </c>
      <c r="H368" t="s">
        <v>749</v>
      </c>
      <c r="I368">
        <v>31.68</v>
      </c>
      <c r="J368">
        <v>-23.0005229</v>
      </c>
      <c r="K368">
        <v>-43.381471500000004</v>
      </c>
      <c r="L368" t="s">
        <v>742</v>
      </c>
      <c r="M368" t="s">
        <v>750</v>
      </c>
      <c r="N368" t="s">
        <v>27</v>
      </c>
      <c r="P368" t="str">
        <f>_xlfn.XLOOKUP(empresas_identificadas_complementadas[[#This Row],[cnpj]],empresas_filtradas[cnpj],empresas_filtradas[email])</f>
        <v>SERGIOLEME@UNIDOX.COM.BR</v>
      </c>
      <c r="Q368" t="str">
        <f>_xlfn.XLOOKUP(empresas_identificadas_complementadas[[#This Row],[cnpj]],empresas_filtradas!A:A,empresas_filtradas!M:M)</f>
        <v>Relação</v>
      </c>
    </row>
    <row r="369" spans="1:17" x14ac:dyDescent="0.25">
      <c r="A369">
        <v>61790750000107</v>
      </c>
      <c r="B369" t="s">
        <v>4</v>
      </c>
      <c r="C369" t="s">
        <v>739</v>
      </c>
      <c r="D369">
        <v>95680012</v>
      </c>
      <c r="E369" t="s">
        <v>117</v>
      </c>
      <c r="F369">
        <v>8585</v>
      </c>
      <c r="G369" t="s">
        <v>804</v>
      </c>
      <c r="H369" t="s">
        <v>802</v>
      </c>
      <c r="I369">
        <v>71.069999999999993</v>
      </c>
      <c r="J369">
        <v>-29.359023000000001</v>
      </c>
      <c r="K369">
        <v>-50.8142323</v>
      </c>
      <c r="L369" t="s">
        <v>742</v>
      </c>
      <c r="M369" t="s">
        <v>948</v>
      </c>
      <c r="N369" t="s">
        <v>117</v>
      </c>
      <c r="P369" t="str">
        <f>_xlfn.XLOOKUP(empresas_identificadas_complementadas[[#This Row],[cnpj]],empresas_filtradas[cnpj],empresas_filtradas[email])</f>
        <v>ALEXSCSANDRO@GMAIL.COM</v>
      </c>
      <c r="Q369" t="str">
        <f>_xlfn.XLOOKUP(empresas_identificadas_complementadas[[#This Row],[cnpj]],empresas_filtradas!A:A,empresas_filtradas!M:M)</f>
        <v>Sem Relação</v>
      </c>
    </row>
    <row r="370" spans="1:17" x14ac:dyDescent="0.25">
      <c r="A370">
        <v>55482177000244</v>
      </c>
      <c r="B370" t="s">
        <v>4</v>
      </c>
      <c r="D370">
        <v>59146480</v>
      </c>
      <c r="E370" t="s">
        <v>71</v>
      </c>
      <c r="F370">
        <v>1779</v>
      </c>
      <c r="G370" t="s">
        <v>796</v>
      </c>
      <c r="H370" t="s">
        <v>768</v>
      </c>
      <c r="I370">
        <v>279.83999999999997</v>
      </c>
      <c r="J370">
        <v>-5.8988880000000004</v>
      </c>
      <c r="K370">
        <v>-35.258665999999998</v>
      </c>
      <c r="L370" t="s">
        <v>742</v>
      </c>
      <c r="M370" t="s">
        <v>896</v>
      </c>
      <c r="N370" t="s">
        <v>71</v>
      </c>
      <c r="P370" t="str">
        <f>_xlfn.XLOOKUP(empresas_identificadas_complementadas[[#This Row],[cnpj]],empresas_filtradas[cnpj],empresas_filtradas[email])</f>
        <v>SILTON@SILTON.COM.BR</v>
      </c>
      <c r="Q370" t="str">
        <f>_xlfn.XLOOKUP(empresas_identificadas_complementadas[[#This Row],[cnpj]],empresas_filtradas!A:A,empresas_filtradas!M:M)</f>
        <v>Sem Relação</v>
      </c>
    </row>
    <row r="371" spans="1:17" x14ac:dyDescent="0.25">
      <c r="A371">
        <v>74450842000181</v>
      </c>
      <c r="B371" t="s">
        <v>4</v>
      </c>
      <c r="C371" t="s">
        <v>739</v>
      </c>
      <c r="D371">
        <v>13835000</v>
      </c>
      <c r="E371" t="s">
        <v>32</v>
      </c>
      <c r="F371">
        <v>6345</v>
      </c>
      <c r="G371" t="s">
        <v>752</v>
      </c>
      <c r="H371" t="s">
        <v>753</v>
      </c>
      <c r="I371">
        <v>43.86</v>
      </c>
      <c r="J371">
        <v>-22.3348224</v>
      </c>
      <c r="K371">
        <v>-47.1726721</v>
      </c>
      <c r="L371" t="s">
        <v>742</v>
      </c>
      <c r="P371" t="str">
        <f>_xlfn.XLOOKUP(empresas_identificadas_complementadas[[#This Row],[cnpj]],empresas_filtradas[cnpj],empresas_filtradas[email])</f>
        <v>HORTOSOLDAS1994@GMAIL.COM</v>
      </c>
      <c r="Q371" t="str">
        <f>_xlfn.XLOOKUP(empresas_identificadas_complementadas[[#This Row],[cnpj]],empresas_filtradas!A:A,empresas_filtradas!M:M)</f>
        <v>Sem Relação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E1AD822-A9B0-43A6-BC2A-B5C276A93A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empresas_filtradas</vt:lpstr>
      <vt:lpstr>empresas_identificadas_compleme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Fábio Júnior</dc:creator>
  <cp:lastModifiedBy>Fábio Júnior</cp:lastModifiedBy>
  <dcterms:created xsi:type="dcterms:W3CDTF">2026-05-24T11:31:11Z</dcterms:created>
  <dcterms:modified xsi:type="dcterms:W3CDTF">2026-08-12T11:59:09Z</dcterms:modified>
</cp:coreProperties>
</file>